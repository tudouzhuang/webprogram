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目录" state="visible" r:id="rId4"/>
  </sheets>
  <calcPr calcId="171027"/>
</workbook>
</file>

<file path=xl/sharedStrings.xml><?xml version="1.0" encoding="utf-8"?>
<sst xmlns="http://schemas.openxmlformats.org/spreadsheetml/2006/main" count="150" uniqueCount="106">
  <si>
    <t>目   录</t>
  </si>
  <si>
    <t>表头内容填写栏</t>
  </si>
  <si>
    <t>1</t>
  </si>
  <si>
    <t>设计重大风险排查表</t>
  </si>
  <si>
    <t>项目号</t>
  </si>
  <si>
    <t>N72-VE23</t>
  </si>
  <si>
    <t>2</t>
  </si>
  <si>
    <t>落料</t>
  </si>
  <si>
    <t>产品名</t>
  </si>
  <si>
    <t>右滑门外板</t>
  </si>
  <si>
    <t>制件材质</t>
  </si>
  <si>
    <t>HC180BD+Z</t>
  </si>
  <si>
    <t>3</t>
  </si>
  <si>
    <t>拉延</t>
  </si>
  <si>
    <t>零件号</t>
  </si>
  <si>
    <t>9900200350-9900205227</t>
  </si>
  <si>
    <t>制件料厚</t>
  </si>
  <si>
    <t>0.7mm</t>
  </si>
  <si>
    <t>4</t>
  </si>
  <si>
    <t>后工序</t>
  </si>
  <si>
    <t>工序号-工序内容</t>
  </si>
  <si>
    <t>OP20-TR+PI</t>
  </si>
  <si>
    <t>抗拉强度</t>
  </si>
  <si>
    <t>350MPa</t>
  </si>
  <si>
    <t>5</t>
  </si>
  <si>
    <t>包边</t>
  </si>
  <si>
    <t>模具图号</t>
  </si>
  <si>
    <t>N72-VE23-M002-CAD9900200350-9900205227-OP20</t>
  </si>
  <si>
    <t>6</t>
  </si>
  <si>
    <t>机床参数检查表</t>
  </si>
  <si>
    <t>使用设备（主线）</t>
  </si>
  <si>
    <t>上饶J39-1200F</t>
  </si>
  <si>
    <t>客户名称</t>
  </si>
  <si>
    <t>7</t>
  </si>
  <si>
    <t>废料滑落检查表</t>
  </si>
  <si>
    <t>设计人员</t>
  </si>
  <si>
    <t>祝腾威</t>
  </si>
  <si>
    <t>日期</t>
  </si>
  <si>
    <t>2024-10-25</t>
  </si>
  <si>
    <t>8</t>
  </si>
  <si>
    <t>安全部件检查表</t>
  </si>
  <si>
    <t>校对人员</t>
  </si>
  <si>
    <t xml:space="preserve">张X </t>
  </si>
  <si>
    <t>9</t>
  </si>
  <si>
    <t>25条图纸点检表</t>
  </si>
  <si>
    <t>审核人员</t>
  </si>
  <si>
    <t>10</t>
  </si>
  <si>
    <t>后序压力控制专项检查表</t>
  </si>
  <si>
    <t>报价 尺寸、重量</t>
  </si>
  <si>
    <t>2880*2450*1150/20.4T</t>
  </si>
  <si>
    <t>11</t>
  </si>
  <si>
    <t>动态干涉检查</t>
  </si>
  <si>
    <t>实际 尺寸、重量</t>
  </si>
  <si>
    <t>2950*2530*1150/21.69T</t>
  </si>
  <si>
    <t>12</t>
  </si>
  <si>
    <t>静态干涉检查</t>
  </si>
  <si>
    <t>图纸审核次数记录</t>
  </si>
  <si>
    <t>表单提供情况</t>
  </si>
  <si>
    <t>13</t>
  </si>
  <si>
    <t>筋厚检查报告</t>
  </si>
  <si>
    <t>内审时间</t>
  </si>
  <si>
    <t>大结构</t>
  </si>
  <si>
    <t>模具自检表</t>
  </si>
  <si>
    <t>减重问题清单</t>
  </si>
  <si>
    <t>结构FMC审核记录表</t>
  </si>
  <si>
    <t>结构正式图审核记录表</t>
  </si>
  <si>
    <t>拉延调试工艺卡</t>
  </si>
  <si>
    <t>14</t>
  </si>
  <si>
    <t>第一次内审</t>
  </si>
  <si>
    <t>N/A</t>
  </si>
  <si>
    <t>15</t>
  </si>
  <si>
    <t>材质确认表</t>
  </si>
  <si>
    <t>第二次内审</t>
  </si>
  <si>
    <t>16</t>
  </si>
  <si>
    <t>第三次内审</t>
  </si>
  <si>
    <t>17</t>
  </si>
  <si>
    <t>第四次内审</t>
  </si>
  <si>
    <t>18</t>
  </si>
  <si>
    <t>第五次内审</t>
  </si>
  <si>
    <t>FMC闭环</t>
  </si>
  <si>
    <t>正式图闭环</t>
  </si>
  <si>
    <t>25条点检表</t>
  </si>
  <si>
    <t>审核数据统计</t>
  </si>
  <si>
    <t>材质确认</t>
  </si>
  <si>
    <t>设备确认</t>
  </si>
  <si>
    <t>重大风险</t>
  </si>
  <si>
    <t>状态</t>
  </si>
  <si>
    <t>自检</t>
  </si>
  <si>
    <t>校对</t>
  </si>
  <si>
    <t>审核</t>
  </si>
  <si>
    <t>FMC审核</t>
  </si>
  <si>
    <t>正式图审核</t>
  </si>
  <si>
    <t>OK</t>
  </si>
  <si>
    <t>合格</t>
  </si>
  <si>
    <t>NG</t>
  </si>
  <si>
    <t>未更改</t>
  </si>
  <si>
    <t>无</t>
  </si>
  <si>
    <t>未更改到位</t>
  </si>
  <si>
    <t>确认数量</t>
  </si>
  <si>
    <t>待确定</t>
  </si>
  <si>
    <t>设计数量</t>
  </si>
  <si>
    <t>无法更改</t>
  </si>
  <si>
    <t>设计阶段</t>
  </si>
  <si>
    <t>内审</t>
  </si>
  <si>
    <t>FMC</t>
  </si>
  <si>
    <t>正式图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</si>
</sst>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00FF"/>
      <sz val="24"/>
      <name val="宋体"/>
    </font>
    <font>
      <b/>
      <sz val="11"/>
      <name val="宋体"/>
    </font>
    <font>
      <color rgb="FF0000FF"/>
      <sz val="20"/>
      <name val="宋体"/>
    </font>
    <font>
      <u/>
      <color rgb="FF800080"/>
      <sz val="12"/>
      <name val="宋体"/>
    </font>
    <font>
      <sz val="11"/>
      <name val="宋体"/>
    </font>
    <font>
      <color rgb="FF0000FF"/>
      <sz val="12"/>
      <name val="宋体"/>
    </font>
    <font>
      <sz val="12"/>
      <name val="宋体"/>
    </font>
    <font>
      <color rgb="FF000000"/>
      <sz val="11"/>
      <name val="微软雅黑"/>
    </font>
    <font>
      <color rgb="FF000000"/>
      <sz val="10"/>
      <name val="微软雅黑"/>
    </font>
    <font>
      <b/>
      <sz val="14"/>
      <name val="宋体"/>
    </font>
    <font>
      <b/>
      <sz val="12"/>
      <name val="宋体"/>
    </font>
    <font>
      <b/>
      <sz val="16"/>
      <name val="宋体"/>
    </font>
    <font>
      <b/>
      <color rgb="FF000000"/>
      <sz val="14"/>
      <name val="宋体"/>
    </font>
  </fonts>
  <fills count="5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44546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FormatPr defaultRowHeight="15" outlineLevelRow="0" outlineLevelCol="0" x14ac:dyDescent="55"/>
  <cols>
    <col min="1" max="1" width="6.75" customWidth="1"/>
    <col min="7" max="7" width="16.125" customWidth="1"/>
    <col min="8" max="8" width="12.75" customWidth="1"/>
    <col min="9" max="9" width="11.125" customWidth="1"/>
    <col min="10" max="10" width="11.5" customWidth="1"/>
    <col min="11" max="11" width="11.375" customWidth="1"/>
    <col min="12" max="12" width="12.5" customWidth="1"/>
    <col min="13" max="13" width="11.625" customWidth="1"/>
    <col min="14" max="14" width="13.875" customWidth="1"/>
    <col min="15" max="15" width="12.625" customWidth="1"/>
    <col min="16" max="16" width="11.75" customWidth="1"/>
    <col min="17" max="17" width="10.5" customWidth="1"/>
    <col min="18" max="18" width="10" customWidth="1"/>
    <col min="19" max="19" width="11.375" customWidth="1"/>
    <col min="20" max="20" width="9.625" customWidth="1"/>
    <col min="21" max="22" width="8.125" customWidth="1"/>
  </cols>
  <sheetData>
    <row r="1" ht="26.25" customHeight="1" spans="1:5" x14ac:dyDescent="0.25">
      <c r="A1" s="1" t="s">
        <v>0</v>
      </c>
      <c r="B1" s="1"/>
      <c r="C1" s="1"/>
      <c r="D1" s="1"/>
      <c r="E1" s="1"/>
    </row>
    <row r="2" ht="27.75" customHeight="1" spans="1:5" x14ac:dyDescent="0.25">
      <c r="A2" s="1"/>
      <c r="B2" s="1"/>
      <c r="C2" s="1"/>
      <c r="D2" s="1"/>
      <c r="E2" s="1"/>
    </row>
    <row r="3" ht="24.75" customHeight="1" spans="7:10" x14ac:dyDescent="0.25">
      <c r="G3" s="2" t="s">
        <v>1</v>
      </c>
      <c r="H3" s="2"/>
      <c r="I3" s="2"/>
      <c r="J3" s="2"/>
    </row>
    <row r="4" ht="24.75" customHeight="1" spans="1:8" x14ac:dyDescent="0.25">
      <c r="A4" s="3" t="s">
        <v>2</v>
      </c>
      <c r="B4" s="4" t="s">
        <v>3</v>
      </c>
      <c r="C4" s="4"/>
      <c r="D4" s="4"/>
      <c r="E4" s="4"/>
      <c r="G4" s="5" t="s">
        <v>4</v>
      </c>
      <c r="H4" s="6" t="s">
        <v>5</v>
      </c>
    </row>
    <row r="5" ht="24.75" customHeight="1" spans="1:12" x14ac:dyDescent="0.25">
      <c r="A5" s="3" t="s">
        <v>6</v>
      </c>
      <c r="B5" s="4" t="s">
        <v>7</v>
      </c>
      <c r="C5" s="4"/>
      <c r="D5" s="4"/>
      <c r="E5" s="4"/>
      <c r="G5" s="5" t="s">
        <v>8</v>
      </c>
      <c r="H5" s="6" t="s">
        <v>9</v>
      </c>
      <c r="K5" s="7" t="s">
        <v>10</v>
      </c>
      <c r="L5" s="6" t="s">
        <v>11</v>
      </c>
    </row>
    <row r="6" ht="24.75" customHeight="1" spans="1:12" x14ac:dyDescent="0.25">
      <c r="A6" s="3" t="s">
        <v>12</v>
      </c>
      <c r="B6" s="4" t="s">
        <v>13</v>
      </c>
      <c r="C6" s="4"/>
      <c r="D6" s="4"/>
      <c r="E6" s="4"/>
      <c r="G6" s="5" t="s">
        <v>14</v>
      </c>
      <c r="H6" s="8" t="s">
        <v>15</v>
      </c>
      <c r="K6" s="7" t="s">
        <v>16</v>
      </c>
      <c r="L6" s="6" t="s">
        <v>17</v>
      </c>
    </row>
    <row r="7" ht="24.75" customHeight="1" spans="1:12" x14ac:dyDescent="0.25">
      <c r="A7" s="3" t="s">
        <v>18</v>
      </c>
      <c r="B7" s="4" t="s">
        <v>19</v>
      </c>
      <c r="C7" s="4"/>
      <c r="D7" s="4"/>
      <c r="E7" s="4"/>
      <c r="G7" s="5" t="s">
        <v>20</v>
      </c>
      <c r="H7" s="6" t="s">
        <v>21</v>
      </c>
      <c r="K7" s="7" t="s">
        <v>22</v>
      </c>
      <c r="L7" s="6" t="s">
        <v>23</v>
      </c>
    </row>
    <row r="8" ht="24.75" customHeight="1" spans="1:10" x14ac:dyDescent="0.25">
      <c r="A8" s="3" t="s">
        <v>24</v>
      </c>
      <c r="B8" s="4" t="s">
        <v>25</v>
      </c>
      <c r="C8" s="4"/>
      <c r="D8" s="4"/>
      <c r="E8" s="4"/>
      <c r="G8" s="5" t="s">
        <v>26</v>
      </c>
      <c r="H8" s="9" t="s">
        <v>27</v>
      </c>
      <c r="I8" s="9"/>
      <c r="J8" s="9"/>
    </row>
    <row r="9" ht="24.75" customHeight="1" spans="1:11" x14ac:dyDescent="0.25">
      <c r="A9" s="3" t="s">
        <v>28</v>
      </c>
      <c r="B9" s="4" t="s">
        <v>29</v>
      </c>
      <c r="C9" s="4"/>
      <c r="D9" s="4"/>
      <c r="E9" s="4"/>
      <c r="G9" s="5" t="s">
        <v>30</v>
      </c>
      <c r="H9" s="9" t="s">
        <v>31</v>
      </c>
      <c r="I9" s="9"/>
      <c r="J9" s="9"/>
      <c r="K9" s="5" t="s">
        <v>32</v>
      </c>
    </row>
    <row r="10" ht="24.75" customHeight="1" spans="1:10" x14ac:dyDescent="0.25">
      <c r="A10" s="3" t="s">
        <v>33</v>
      </c>
      <c r="B10" s="10" t="s">
        <v>34</v>
      </c>
      <c r="C10" s="10"/>
      <c r="D10" s="10"/>
      <c r="E10" s="10"/>
      <c r="G10" s="5" t="s">
        <v>35</v>
      </c>
      <c r="H10" s="6" t="s">
        <v>36</v>
      </c>
      <c r="I10" s="5" t="s">
        <v>37</v>
      </c>
      <c r="J10" s="6" t="s">
        <v>38</v>
      </c>
    </row>
    <row r="11" ht="24.75" customHeight="1" spans="1:9" x14ac:dyDescent="0.25">
      <c r="A11" s="3" t="s">
        <v>39</v>
      </c>
      <c r="B11" s="10" t="s">
        <v>40</v>
      </c>
      <c r="C11" s="10"/>
      <c r="D11" s="10"/>
      <c r="E11" s="10"/>
      <c r="G11" s="5" t="s">
        <v>41</v>
      </c>
      <c r="H11" s="6" t="s">
        <v>42</v>
      </c>
      <c r="I11" s="5" t="s">
        <v>37</v>
      </c>
    </row>
    <row r="12" ht="24.75" customHeight="1" spans="1:9" x14ac:dyDescent="0.25">
      <c r="A12" s="3" t="s">
        <v>43</v>
      </c>
      <c r="B12" s="4" t="s">
        <v>44</v>
      </c>
      <c r="C12" s="4"/>
      <c r="D12" s="4"/>
      <c r="E12" s="4"/>
      <c r="G12" s="5" t="s">
        <v>45</v>
      </c>
      <c r="H12" s="6" t="s">
        <v>42</v>
      </c>
      <c r="I12" s="5" t="s">
        <v>37</v>
      </c>
    </row>
    <row r="13" ht="24.75" customHeight="1" spans="1:8" x14ac:dyDescent="0.25">
      <c r="A13" s="3" t="s">
        <v>46</v>
      </c>
      <c r="B13" s="4" t="s">
        <v>47</v>
      </c>
      <c r="C13" s="4"/>
      <c r="D13" s="4"/>
      <c r="E13" s="4"/>
      <c r="G13" s="5" t="s">
        <v>48</v>
      </c>
      <c r="H13" s="6" t="s">
        <v>49</v>
      </c>
    </row>
    <row r="14" ht="24.75" customHeight="1" spans="1:8" x14ac:dyDescent="0.25">
      <c r="A14" s="3" t="s">
        <v>50</v>
      </c>
      <c r="B14" s="4" t="s">
        <v>51</v>
      </c>
      <c r="C14" s="4"/>
      <c r="D14" s="4"/>
      <c r="E14" s="4"/>
      <c r="G14" s="5" t="s">
        <v>52</v>
      </c>
      <c r="H14" s="6" t="s">
        <v>53</v>
      </c>
    </row>
    <row r="15" ht="24.75" customHeight="1" spans="1:23" x14ac:dyDescent="0.25">
      <c r="A15" s="3" t="s">
        <v>54</v>
      </c>
      <c r="B15" s="4" t="s">
        <v>55</v>
      </c>
      <c r="C15" s="4"/>
      <c r="D15" s="4"/>
      <c r="E15" s="4"/>
      <c r="G15" s="11" t="s">
        <v>56</v>
      </c>
      <c r="H15" s="11"/>
      <c r="I15" s="12" t="s">
        <v>37</v>
      </c>
      <c r="J15" s="12"/>
      <c r="K15" s="11" t="s">
        <v>57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ht="33.75" customHeight="1" spans="1:23" x14ac:dyDescent="0.25">
      <c r="A16" s="3" t="s">
        <v>58</v>
      </c>
      <c r="B16" s="10" t="s">
        <v>59</v>
      </c>
      <c r="C16" s="10"/>
      <c r="D16" s="10"/>
      <c r="E16" s="10"/>
      <c r="G16" s="13" t="s">
        <v>60</v>
      </c>
      <c r="H16" s="13" t="s">
        <v>61</v>
      </c>
      <c r="J16"/>
      <c r="K16" s="14" t="s">
        <v>62</v>
      </c>
      <c r="L16" s="14" t="s">
        <v>29</v>
      </c>
      <c r="M16" s="14" t="s">
        <v>34</v>
      </c>
      <c r="N16" s="14" t="s">
        <v>40</v>
      </c>
      <c r="O16" s="14" t="s">
        <v>44</v>
      </c>
      <c r="P16" s="14" t="s">
        <v>47</v>
      </c>
      <c r="Q16" s="14" t="s">
        <v>51</v>
      </c>
      <c r="R16" s="14" t="s">
        <v>55</v>
      </c>
      <c r="S16" s="14" t="s">
        <v>59</v>
      </c>
      <c r="T16" s="14" t="s">
        <v>63</v>
      </c>
      <c r="U16" s="14" t="s">
        <v>64</v>
      </c>
      <c r="V16" s="14" t="s">
        <v>65</v>
      </c>
      <c r="W16" s="14" t="s">
        <v>66</v>
      </c>
    </row>
    <row r="17" ht="24.75" customHeight="1" spans="1:15" x14ac:dyDescent="0.25">
      <c r="A17" s="3" t="s">
        <v>67</v>
      </c>
      <c r="B17" s="10" t="s">
        <v>63</v>
      </c>
      <c r="C17" s="10"/>
      <c r="D17" s="10"/>
      <c r="E17" s="10"/>
      <c r="G17" s="13"/>
      <c r="H17" s="13" t="s">
        <v>68</v>
      </c>
      <c r="J17"/>
      <c r="O17" s="15" t="s">
        <v>69</v>
      </c>
    </row>
    <row r="18" ht="24.75" customHeight="1" spans="1:10" x14ac:dyDescent="0.25">
      <c r="A18" s="3" t="s">
        <v>70</v>
      </c>
      <c r="B18" s="4" t="s">
        <v>71</v>
      </c>
      <c r="C18" s="4"/>
      <c r="D18" s="4"/>
      <c r="E18" s="4"/>
      <c r="G18" s="13"/>
      <c r="H18" s="13" t="s">
        <v>72</v>
      </c>
      <c r="J18"/>
    </row>
    <row r="19" ht="24.75" customHeight="1" spans="1:10" x14ac:dyDescent="0.25">
      <c r="A19" s="3" t="s">
        <v>73</v>
      </c>
      <c r="B19" s="10" t="s">
        <v>64</v>
      </c>
      <c r="C19" s="10"/>
      <c r="D19" s="10"/>
      <c r="E19" s="10"/>
      <c r="G19" s="13"/>
      <c r="H19" s="13" t="s">
        <v>74</v>
      </c>
      <c r="J19"/>
    </row>
    <row r="20" ht="24.75" customHeight="1" spans="1:10" x14ac:dyDescent="0.25">
      <c r="A20" s="3" t="s">
        <v>75</v>
      </c>
      <c r="B20" s="10" t="s">
        <v>65</v>
      </c>
      <c r="C20" s="10"/>
      <c r="D20" s="10"/>
      <c r="E20" s="10"/>
      <c r="G20" s="13"/>
      <c r="H20" s="13" t="s">
        <v>76</v>
      </c>
      <c r="J20"/>
    </row>
    <row r="21" ht="24.75" customHeight="1" spans="1:10" x14ac:dyDescent="0.25">
      <c r="A21" s="3" t="s">
        <v>77</v>
      </c>
      <c r="B21" s="10" t="s">
        <v>66</v>
      </c>
      <c r="C21" s="10"/>
      <c r="D21" s="10"/>
      <c r="E21" s="10"/>
      <c r="G21" s="13"/>
      <c r="H21" s="16" t="s">
        <v>78</v>
      </c>
      <c r="J21"/>
    </row>
    <row r="22" ht="24.75" customHeight="1" spans="7:10" x14ac:dyDescent="0.25">
      <c r="G22" s="13"/>
      <c r="H22" s="13" t="s">
        <v>79</v>
      </c>
      <c r="J22"/>
    </row>
    <row r="23" ht="24.75" customHeight="1" spans="7:10" x14ac:dyDescent="0.25">
      <c r="G23" s="13"/>
      <c r="H23" s="13" t="s">
        <v>80</v>
      </c>
      <c r="J23"/>
    </row>
    <row r="24" ht="39.75" customHeight="1" x14ac:dyDescent="0.25"/>
    <row r="25" ht="30.75" customHeight="1" spans="7:17" x14ac:dyDescent="0.25">
      <c r="G25" s="17" t="s">
        <v>81</v>
      </c>
      <c r="H25" s="17"/>
      <c r="I25" s="17"/>
      <c r="J25" s="17"/>
      <c r="L25" s="17" t="s">
        <v>82</v>
      </c>
      <c r="M25" s="17"/>
      <c r="N25" s="17"/>
      <c r="O25" s="18" t="s">
        <v>83</v>
      </c>
      <c r="P25" s="18" t="s">
        <v>84</v>
      </c>
      <c r="Q25" s="19" t="s">
        <v>85</v>
      </c>
    </row>
    <row r="26" ht="30.75" customHeight="1" spans="7:17" x14ac:dyDescent="0.25">
      <c r="G26" s="17" t="s">
        <v>86</v>
      </c>
      <c r="H26" s="17" t="s">
        <v>87</v>
      </c>
      <c r="I26" s="17" t="s">
        <v>88</v>
      </c>
      <c r="J26" s="17" t="s">
        <v>89</v>
      </c>
      <c r="L26" s="17" t="s">
        <v>86</v>
      </c>
      <c r="M26" s="20" t="s">
        <v>90</v>
      </c>
      <c r="N26" s="20" t="s">
        <v>91</v>
      </c>
      <c r="O26" s="18"/>
      <c r="P26" s="18"/>
      <c r="Q26" s="19"/>
    </row>
    <row r="27" ht="30.75" customHeight="1" spans="7:17" x14ac:dyDescent="0.25">
      <c r="G27" s="17" t="s">
        <v>92</v>
      </c>
      <c r="H27" s="17">
        <f>'[40]25条图纸点检表'!L9</f>
      </c>
      <c r="I27" s="17">
        <f>'[40]25条图纸点检表'!M9</f>
      </c>
      <c r="J27" s="17">
        <f>'[40]25条图纸点检表'!N9</f>
      </c>
      <c r="L27" s="17" t="s">
        <v>93</v>
      </c>
      <c r="M27" s="17">
        <f>[40]结构FMC审核记录表!J3</f>
      </c>
      <c r="N27" s="17">
        <f>[40]结构正式图审核记录表!J3</f>
      </c>
      <c r="O27" s="21">
        <f>[40]材质确认表!O2</f>
      </c>
      <c r="P27" s="21">
        <f>[40]机床参数检查表!N2</f>
      </c>
      <c r="Q27" s="21">
        <f>[40]设计重大风险排查表!L2</f>
      </c>
    </row>
    <row r="28" ht="30.75" customHeight="1" spans="7:17" x14ac:dyDescent="0.25">
      <c r="G28" s="17" t="s">
        <v>94</v>
      </c>
      <c r="H28" s="17">
        <f>'[40]25条图纸点检表'!L10</f>
      </c>
      <c r="I28" s="17">
        <f>'[40]25条图纸点检表'!M10</f>
      </c>
      <c r="J28" s="17">
        <f>'[40]25条图纸点检表'!N10</f>
      </c>
      <c r="L28" s="17" t="s">
        <v>95</v>
      </c>
      <c r="M28" s="17">
        <f>[40]结构FMC审核记录表!J4</f>
      </c>
      <c r="N28" s="17">
        <f>[40]结构正式图审核记录表!J4</f>
      </c>
      <c r="O28" s="21"/>
      <c r="P28" s="21"/>
      <c r="Q28" s="21"/>
    </row>
    <row r="29" ht="30.75" customHeight="1" spans="7:17" x14ac:dyDescent="0.25">
      <c r="G29" s="17" t="s">
        <v>96</v>
      </c>
      <c r="H29" s="17">
        <f>'[40]25条图纸点检表'!L11</f>
      </c>
      <c r="I29" s="17">
        <f>'[40]25条图纸点检表'!M11</f>
      </c>
      <c r="J29" s="17">
        <f>'[40]25条图纸点检表'!N11</f>
      </c>
      <c r="L29" s="17" t="s">
        <v>97</v>
      </c>
      <c r="M29" s="17">
        <f>[40]结构FMC审核记录表!J5</f>
      </c>
      <c r="N29" s="17">
        <f>[40]结构正式图审核记录表!J5</f>
      </c>
      <c r="O29" s="21"/>
      <c r="P29" s="21"/>
      <c r="Q29" s="21"/>
    </row>
    <row r="30" ht="30.75" customHeight="1" spans="7:17" x14ac:dyDescent="0.25">
      <c r="G30" s="18" t="s">
        <v>98</v>
      </c>
      <c r="H30" s="17">
        <f>'[40]25条图纸点检表'!L12</f>
      </c>
      <c r="I30" s="17">
        <f>'[40]25条图纸点检表'!M12</f>
      </c>
      <c r="J30" s="17">
        <f>'[40]25条图纸点检表'!N12</f>
      </c>
      <c r="L30" s="18" t="s">
        <v>99</v>
      </c>
      <c r="M30" s="17">
        <f>[40]结构FMC审核记录表!J6</f>
      </c>
      <c r="N30" s="17">
        <f>[40]结构正式图审核记录表!J6</f>
      </c>
      <c r="O30" s="21"/>
      <c r="P30" s="21"/>
      <c r="Q30" s="21"/>
    </row>
    <row r="31" ht="30.75" customHeight="1" spans="7:17" x14ac:dyDescent="0.25">
      <c r="G31" s="18" t="s">
        <v>100</v>
      </c>
      <c r="H31" s="17">
        <f>'[40]25条图纸点检表'!L13</f>
      </c>
      <c r="I31" s="17">
        <f>'[40]25条图纸点检表'!M13</f>
      </c>
      <c r="J31" s="17">
        <f>'[40]25条图纸点检表'!N13</f>
      </c>
      <c r="L31" s="18" t="s">
        <v>101</v>
      </c>
      <c r="M31" s="17">
        <f>[40]结构FMC审核记录表!J7</f>
      </c>
      <c r="N31" s="17">
        <f>[40]结构正式图审核记录表!J7</f>
      </c>
      <c r="O31" s="21"/>
      <c r="P31" s="21"/>
      <c r="Q31" s="21"/>
    </row>
    <row r="32" ht="30.75" customHeight="1" x14ac:dyDescent="0.25"/>
    <row r="33" ht="41.25" customHeight="1" spans="7:25" x14ac:dyDescent="0.25">
      <c r="G33" s="19" t="s">
        <v>102</v>
      </c>
      <c r="H33" s="17" t="s">
        <v>7</v>
      </c>
      <c r="I33" s="17"/>
      <c r="J33" s="17"/>
      <c r="K33" s="17"/>
      <c r="L33" s="17"/>
      <c r="M33" s="17"/>
      <c r="N33" s="17" t="s">
        <v>13</v>
      </c>
      <c r="O33" s="17"/>
      <c r="P33" s="17"/>
      <c r="Q33" s="17"/>
      <c r="R33" s="17"/>
      <c r="S33" s="17"/>
      <c r="T33" s="17" t="s">
        <v>19</v>
      </c>
      <c r="U33" s="17"/>
      <c r="V33" s="17"/>
      <c r="W33" s="17"/>
      <c r="X33" s="17"/>
      <c r="Y33" s="17"/>
    </row>
    <row r="34" ht="41.25" customHeight="1" spans="7:25" x14ac:dyDescent="0.25">
      <c r="G34" s="19"/>
      <c r="H34" s="19" t="s">
        <v>87</v>
      </c>
      <c r="I34" s="19"/>
      <c r="J34" s="19"/>
      <c r="K34" s="19" t="s">
        <v>89</v>
      </c>
      <c r="L34" s="19"/>
      <c r="M34" s="19"/>
      <c r="N34" s="19" t="s">
        <v>87</v>
      </c>
      <c r="O34" s="19"/>
      <c r="P34" s="19"/>
      <c r="Q34" s="19" t="s">
        <v>89</v>
      </c>
      <c r="R34" s="19"/>
      <c r="S34" s="19"/>
      <c r="T34" s="19" t="s">
        <v>87</v>
      </c>
      <c r="U34" s="19"/>
      <c r="V34" s="19"/>
      <c r="W34" s="19" t="s">
        <v>89</v>
      </c>
      <c r="X34" s="19"/>
      <c r="Y34" s="19"/>
    </row>
    <row r="35" ht="41.25" customHeight="1" spans="7:25" x14ac:dyDescent="0.25">
      <c r="G35" s="19"/>
      <c r="H35" s="17" t="s">
        <v>92</v>
      </c>
      <c r="I35" s="17" t="s">
        <v>94</v>
      </c>
      <c r="J35" s="17" t="s">
        <v>96</v>
      </c>
      <c r="K35" s="17" t="s">
        <v>92</v>
      </c>
      <c r="L35" s="17" t="s">
        <v>94</v>
      </c>
      <c r="M35" s="17" t="s">
        <v>96</v>
      </c>
      <c r="N35" s="17" t="s">
        <v>92</v>
      </c>
      <c r="O35" s="17" t="s">
        <v>94</v>
      </c>
      <c r="P35" s="17" t="s">
        <v>96</v>
      </c>
      <c r="Q35" s="17" t="s">
        <v>92</v>
      </c>
      <c r="R35" s="17" t="s">
        <v>94</v>
      </c>
      <c r="S35" s="17" t="s">
        <v>96</v>
      </c>
      <c r="T35" s="17" t="s">
        <v>92</v>
      </c>
      <c r="U35" s="17" t="s">
        <v>94</v>
      </c>
      <c r="V35" s="17" t="s">
        <v>96</v>
      </c>
      <c r="W35" s="17" t="s">
        <v>92</v>
      </c>
      <c r="X35" s="17" t="s">
        <v>94</v>
      </c>
      <c r="Y35" s="17" t="s">
        <v>96</v>
      </c>
    </row>
    <row r="36" ht="41.25" customHeight="1" spans="7:25" x14ac:dyDescent="0.25">
      <c r="G36" s="22" t="s">
        <v>103</v>
      </c>
      <c r="H36" s="19">
        <f>[40]落料!O18</f>
      </c>
      <c r="I36" s="19">
        <f>[40]落料!O19</f>
      </c>
      <c r="J36" s="19">
        <f>[40]落料!O20</f>
      </c>
      <c r="K36" s="19">
        <f>[40]落料!O11</f>
      </c>
      <c r="L36" s="19">
        <f>[40]落料!O12</f>
      </c>
      <c r="M36" s="19">
        <f>[40]落料!O13</f>
      </c>
      <c r="N36" s="19">
        <f>[40]拉延!O17</f>
      </c>
      <c r="O36" s="19">
        <f>[40]拉延!O18</f>
      </c>
      <c r="P36" s="19">
        <f>[40]拉延!O19</f>
      </c>
      <c r="Q36" s="19">
        <f>[40]拉延!O10</f>
      </c>
      <c r="R36" s="19">
        <f>[40]拉延!O11</f>
      </c>
      <c r="S36" s="19">
        <f>[40]拉延!O12</f>
      </c>
      <c r="T36" s="19">
        <f>[40]后工序!O17</f>
      </c>
      <c r="U36" s="19">
        <f>[40]后工序!O18</f>
      </c>
      <c r="V36" s="19">
        <f>[40]后工序!O19</f>
      </c>
      <c r="W36" s="19">
        <f>[40]后工序!O10</f>
      </c>
      <c r="X36" s="19">
        <f>[40]后工序!O11</f>
      </c>
      <c r="Y36" s="19">
        <f>[40]后工序!O12</f>
      </c>
    </row>
    <row r="37" ht="41.25" customHeight="1" spans="7:25" x14ac:dyDescent="0.25">
      <c r="G37" s="22" t="s">
        <v>104</v>
      </c>
      <c r="H37" s="19">
        <f>[40]落料!O21</f>
      </c>
      <c r="I37" s="19">
        <f>[40]落料!O22</f>
      </c>
      <c r="J37" s="19">
        <f>[40]落料!O23</f>
      </c>
      <c r="K37" s="19">
        <f>[40]落料!O14</f>
      </c>
      <c r="L37" s="19">
        <f>[40]落料!O15</f>
      </c>
      <c r="M37" s="19">
        <f>[40]落料!O16</f>
      </c>
      <c r="N37" s="19">
        <f>[40]拉延!O20</f>
      </c>
      <c r="O37" s="19">
        <f>[40]拉延!O21</f>
      </c>
      <c r="P37" s="19">
        <f>[40]拉延!O22</f>
      </c>
      <c r="Q37" s="19">
        <f>[40]拉延!O13</f>
      </c>
      <c r="R37" s="19">
        <f>[40]拉延!O14</f>
      </c>
      <c r="S37" s="19">
        <f>[40]拉延!O15</f>
      </c>
      <c r="T37" s="19">
        <f>[40]后工序!O20</f>
      </c>
      <c r="U37" s="19">
        <f>[40]后工序!O21</f>
      </c>
      <c r="V37" s="19">
        <f>[40]后工序!O22</f>
      </c>
      <c r="W37" s="19">
        <f>[40]后工序!O13</f>
      </c>
      <c r="X37" s="19">
        <f>[40]后工序!O14</f>
      </c>
      <c r="Y37" s="19">
        <f>[40]后工序!O15</f>
      </c>
    </row>
    <row r="38" ht="41.25" customHeight="1" spans="7:7" x14ac:dyDescent="0.25">
      <c r="G38" s="22" t="s">
        <v>105</v>
      </c>
    </row>
    <row r="39" ht="27" customHeight="1" x14ac:dyDescent="0.25"/>
    <row r="40" ht="30.75" customHeight="1" x14ac:dyDescent="0.25"/>
    <row r="41" ht="30.75" customHeight="1" x14ac:dyDescent="0.25"/>
    <row r="42" ht="30.75" customHeight="1" x14ac:dyDescent="0.25"/>
    <row r="43" ht="30.75" customHeight="1" x14ac:dyDescent="0.25"/>
    <row r="44" ht="30.75" customHeight="1" x14ac:dyDescent="0.25"/>
    <row r="45" ht="30.75" customHeight="1" x14ac:dyDescent="0.25"/>
    <row r="46" ht="30.75" customHeight="1" x14ac:dyDescent="0.25"/>
    <row r="47" ht="30.75" customHeight="1" x14ac:dyDescent="0.25"/>
    <row r="48" ht="30.75" customHeight="1" x14ac:dyDescent="0.25"/>
    <row r="49" ht="30.75" customHeight="1" x14ac:dyDescent="0.25"/>
    <row r="50" ht="30.75" customHeight="1" x14ac:dyDescent="0.25"/>
    <row r="51" ht="30.75" customHeight="1" x14ac:dyDescent="0.25"/>
    <row r="52" ht="30.75" customHeight="1" x14ac:dyDescent="0.25"/>
  </sheetData>
  <mergeCells count="52">
    <mergeCell ref="A1:E2"/>
    <mergeCell ref="G3:J3"/>
    <mergeCell ref="B4:E4"/>
    <mergeCell ref="B5:E5"/>
    <mergeCell ref="B6:E6"/>
    <mergeCell ref="B7:E7"/>
    <mergeCell ref="B8:E8"/>
    <mergeCell ref="H8:J8"/>
    <mergeCell ref="B9:E9"/>
    <mergeCell ref="H9:J9"/>
    <mergeCell ref="B10:E10"/>
    <mergeCell ref="B11:E11"/>
    <mergeCell ref="B12:E12"/>
    <mergeCell ref="B13:E13"/>
    <mergeCell ref="B14:E14"/>
    <mergeCell ref="B15:E15"/>
    <mergeCell ref="G15:H15"/>
    <mergeCell ref="I15:J15"/>
    <mergeCell ref="K15:W15"/>
    <mergeCell ref="B16:E16"/>
    <mergeCell ref="I16:J16"/>
    <mergeCell ref="B17:E17"/>
    <mergeCell ref="G16:G23"/>
    <mergeCell ref="I17:J17"/>
    <mergeCell ref="B18:E18"/>
    <mergeCell ref="I18:J18"/>
    <mergeCell ref="B19:E19"/>
    <mergeCell ref="I19:J19"/>
    <mergeCell ref="B20:E20"/>
    <mergeCell ref="I20:J20"/>
    <mergeCell ref="B21:E21"/>
    <mergeCell ref="I21:J21"/>
    <mergeCell ref="I22:J22"/>
    <mergeCell ref="I23:J23"/>
    <mergeCell ref="G25:J25"/>
    <mergeCell ref="L25:N25"/>
    <mergeCell ref="O25:O26"/>
    <mergeCell ref="P25:P26"/>
    <mergeCell ref="Q25:Q26"/>
    <mergeCell ref="O27:O31"/>
    <mergeCell ref="P27:P31"/>
    <mergeCell ref="Q27:Q31"/>
    <mergeCell ref="H33:M33"/>
    <mergeCell ref="N33:S33"/>
    <mergeCell ref="T33:Y33"/>
    <mergeCell ref="G33:G35"/>
    <mergeCell ref="H34:J34"/>
    <mergeCell ref="K34:M34"/>
    <mergeCell ref="N34:P34"/>
    <mergeCell ref="Q34:S34"/>
    <mergeCell ref="T34:V34"/>
    <mergeCell ref="W34:Y34"/>
  </mergeCells>
  <dataValidations count="2">
    <dataValidation type="list" allowBlank="1" showErrorMessage="1" errorStyle="warning" errorTitle="输入无效" error="请从下拉列表中选择一个有效值。" sqref="K17:W23">
      <formula1>"是,否,N/A"</formula1>
    </dataValidation>
    <dataValidation type="list" allowBlank="1" showErrorMessage="1" errorStyle="warning" errorTitle="输入无效" error="请从下拉列表中选择一个有效值。" sqref="L30:L31">
      <formula1>"合格,未更改到位,未更改,待确定,无法更改"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目录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2025-11-12T15:57:12Z</dcterms:created>
  <dcterms:modified xsi:type="dcterms:W3CDTF">2025-11-12T15:57:12Z</dcterms:modified>
</cp:coreProperties>
</file>