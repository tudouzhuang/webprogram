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部件检查表" state="visible" r:id="rId4"/>
  </sheets>
  <calcPr calcId="171027"/>
</workbook>
</file>

<file path=xl/sharedStrings.xml><?xml version="1.0" encoding="utf-8"?>
<sst xmlns="http://schemas.openxmlformats.org/spreadsheetml/2006/main" count="119" uniqueCount="92">
  <si>
    <t>安全部件检查表</t>
  </si>
  <si>
    <t>设计人员</t>
  </si>
  <si>
    <t>审核人员</t>
  </si>
  <si>
    <t>项目一</t>
  </si>
  <si>
    <t>起吊重量核算</t>
  </si>
  <si>
    <t>序号</t>
  </si>
  <si>
    <t>起吊部件</t>
  </si>
  <si>
    <t>起吊部件重量(kg)</t>
  </si>
  <si>
    <t>起吊形式</t>
  </si>
  <si>
    <t>起吊规格</t>
  </si>
  <si>
    <t>单个标准承重(kg)</t>
  </si>
  <si>
    <t>结果</t>
  </si>
  <si>
    <t>下模部件</t>
  </si>
  <si>
    <t>规格</t>
  </si>
  <si>
    <t>三住1个承重（螺纹套）</t>
  </si>
  <si>
    <t>WDX1个承重（螺纹套）</t>
  </si>
  <si>
    <t>WDX1个承重（螺纹孔铸铁）</t>
  </si>
  <si>
    <t>WDX1个承重（螺纹孔铸钢）</t>
  </si>
  <si>
    <t>承重（T）</t>
  </si>
  <si>
    <t>1</t>
  </si>
  <si>
    <t>M16</t>
  </si>
  <si>
    <t>下模总部件</t>
  </si>
  <si>
    <t>450</t>
  </si>
  <si>
    <t>675</t>
  </si>
  <si>
    <t>420</t>
  </si>
  <si>
    <t>Ø33</t>
  </si>
  <si>
    <t>3</t>
  </si>
  <si>
    <t>2</t>
  </si>
  <si>
    <t>M20</t>
  </si>
  <si>
    <t>下模凸模</t>
  </si>
  <si>
    <t>600</t>
  </si>
  <si>
    <t>1035</t>
  </si>
  <si>
    <t>650</t>
  </si>
  <si>
    <t>Ø43</t>
  </si>
  <si>
    <t>5</t>
  </si>
  <si>
    <t>M24</t>
  </si>
  <si>
    <t>下模斜楔驱动</t>
  </si>
  <si>
    <t>1000</t>
  </si>
  <si>
    <t>1440</t>
  </si>
  <si>
    <t>1040</t>
  </si>
  <si>
    <t>Ø53</t>
  </si>
  <si>
    <t>7</t>
  </si>
  <si>
    <t>4</t>
  </si>
  <si>
    <t>M30</t>
  </si>
  <si>
    <t>下模滑块</t>
  </si>
  <si>
    <t>1700</t>
  </si>
  <si>
    <t>2025</t>
  </si>
  <si>
    <t>1460</t>
  </si>
  <si>
    <t>Ø67</t>
  </si>
  <si>
    <t>10</t>
  </si>
  <si>
    <t>M36</t>
  </si>
  <si>
    <t>下模托芯</t>
  </si>
  <si>
    <t>2300</t>
  </si>
  <si>
    <t>3150</t>
  </si>
  <si>
    <t>2275</t>
  </si>
  <si>
    <t>Ø80</t>
  </si>
  <si>
    <t>15</t>
  </si>
  <si>
    <t>6</t>
  </si>
  <si>
    <t>M42</t>
  </si>
  <si>
    <t>转向斜楔滑车</t>
  </si>
  <si>
    <t>3300</t>
  </si>
  <si>
    <t>4050</t>
  </si>
  <si>
    <t>2925</t>
  </si>
  <si>
    <t>M48</t>
  </si>
  <si>
    <t>基准斜楔</t>
  </si>
  <si>
    <t>4500</t>
  </si>
  <si>
    <t>5400</t>
  </si>
  <si>
    <t>3900</t>
  </si>
  <si>
    <t>8</t>
  </si>
  <si>
    <t>旋转斜楔</t>
  </si>
  <si>
    <t>9</t>
  </si>
  <si>
    <t>压边圈</t>
  </si>
  <si>
    <t>下模垫板</t>
  </si>
  <si>
    <t>11</t>
  </si>
  <si>
    <t>整个模具</t>
  </si>
  <si>
    <t>12</t>
  </si>
  <si>
    <t>压料板</t>
  </si>
  <si>
    <t>13</t>
  </si>
  <si>
    <t>14</t>
  </si>
  <si>
    <t>OK</t>
  </si>
  <si>
    <t>插销式吊耳</t>
  </si>
  <si>
    <t>项目二</t>
  </si>
  <si>
    <t>安全部件一致性检查</t>
  </si>
  <si>
    <t>NG</t>
  </si>
  <si>
    <t>螺纹套</t>
  </si>
  <si>
    <t>从PDM项目资料下载标准体，对比截图</t>
  </si>
  <si>
    <t>备注</t>
  </si>
  <si>
    <t>/</t>
  </si>
  <si>
    <t>螺纹孔</t>
  </si>
  <si>
    <t>吊耳（与标准体是否一致，上下模吊耳是否无错位？）</t>
  </si>
  <si>
    <t>链接到目录</t>
  </si>
  <si>
    <t>侧销（与标准体是否一致，两侧是否需要斜筋补强？）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</si>
</sst>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20"/>
      <name val="微软雅黑"/>
    </font>
    <font>
      <sz val="11"/>
      <name val="微软雅黑"/>
    </font>
    <font>
      <sz val="12"/>
      <name val="微软雅黑"/>
    </font>
    <font>
      <sz val="10"/>
      <name val="微软雅黑"/>
    </font>
    <font>
      <color rgb="FF800080"/>
      <sz val="12"/>
      <name val="宋体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BA02"/>
      </patternFill>
    </fill>
    <fill>
      <patternFill patternType="solid">
        <fgColor rgb="FFFFFFFF"/>
      </patternFill>
    </fill>
    <fill>
      <patternFill patternType="solid">
        <fgColor rgb="FF4874CB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</xdr:col>
      <xdr:colOff>0</xdr:colOff>
      <xdr:row>5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FormatPr defaultRowHeight="15" outlineLevelRow="0" outlineLevelCol="0" x14ac:dyDescent="55"/>
  <cols>
    <col min="1" max="1" width="6.375" customWidth="1"/>
    <col min="7" max="7" width="13.875" customWidth="1"/>
    <col min="9" max="9" width="8.125" customWidth="1"/>
    <col min="10" max="10" width="8.875" customWidth="1"/>
    <col min="12" max="12" width="11.125" customWidth="1"/>
    <col min="13" max="13" width="14.5" customWidth="1"/>
    <col min="14" max="14" width="16.25" customWidth="1"/>
    <col min="15" max="15" width="10.375" customWidth="1"/>
    <col min="17" max="17" width="10.75" customWidth="1"/>
    <col min="18" max="18" width="13" customWidth="1"/>
  </cols>
  <sheetData>
    <row r="1" ht="17.2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>
        <f>[40]目录!H10</f>
      </c>
    </row>
    <row r="2" spans="1:9" x14ac:dyDescent="0.25">
      <c r="A2"/>
      <c r="B2"/>
      <c r="C2" s="1"/>
      <c r="D2" s="1"/>
      <c r="E2" s="1"/>
      <c r="F2" s="1"/>
      <c r="G2" s="1"/>
      <c r="H2" s="2" t="s">
        <v>2</v>
      </c>
      <c r="I2" s="2">
        <f>[40]目录!H12</f>
      </c>
    </row>
    <row r="3" spans="1:9" x14ac:dyDescent="0.25">
      <c r="A3" s="3" t="s">
        <v>3</v>
      </c>
      <c r="B3" s="3"/>
      <c r="C3" s="3" t="s">
        <v>4</v>
      </c>
      <c r="D3" s="3"/>
      <c r="E3" s="3"/>
      <c r="F3" s="3"/>
      <c r="G3" s="3"/>
      <c r="H3" s="3"/>
      <c r="I3" s="3"/>
    </row>
    <row r="4" ht="31.5" customHeight="1" spans="1:20" x14ac:dyDescent="0.25">
      <c r="A4" s="4" t="s">
        <v>5</v>
      </c>
      <c r="B4" s="4" t="s">
        <v>6</v>
      </c>
      <c r="C4" s="4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/>
      <c r="M4" s="5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7" t="s">
        <v>13</v>
      </c>
      <c r="T4" s="7" t="s">
        <v>18</v>
      </c>
    </row>
    <row r="5" spans="1:20" x14ac:dyDescent="0.25">
      <c r="A5" s="4" t="s">
        <v>19</v>
      </c>
      <c r="C5"/>
      <c r="H5" s="4">
        <f>IF(D5&lt;2*G5,"OK","NG")</f>
      </c>
      <c r="I5" s="4"/>
      <c r="K5" s="6" t="s">
        <v>20</v>
      </c>
      <c r="M5" s="5" t="s">
        <v>21</v>
      </c>
      <c r="N5" s="6" t="s">
        <v>20</v>
      </c>
      <c r="O5" s="6" t="s">
        <v>22</v>
      </c>
      <c r="P5" s="6" t="s">
        <v>23</v>
      </c>
      <c r="Q5" s="6" t="s">
        <v>24</v>
      </c>
      <c r="R5" s="6" t="s">
        <v>23</v>
      </c>
      <c r="S5" s="7" t="s">
        <v>25</v>
      </c>
      <c r="T5" s="7" t="s">
        <v>26</v>
      </c>
    </row>
    <row r="6" ht="17.25" customHeight="1" spans="1:20" x14ac:dyDescent="0.25">
      <c r="A6" s="4" t="s">
        <v>27</v>
      </c>
      <c r="C6"/>
      <c r="H6" s="4">
        <f>IF(D6&lt;2*G6,"OK","NG")</f>
      </c>
      <c r="I6" s="4"/>
      <c r="K6" s="6" t="s">
        <v>28</v>
      </c>
      <c r="M6" s="5" t="s">
        <v>29</v>
      </c>
      <c r="N6" s="6" t="s">
        <v>28</v>
      </c>
      <c r="O6" s="6" t="s">
        <v>30</v>
      </c>
      <c r="P6" s="6" t="s">
        <v>31</v>
      </c>
      <c r="Q6" s="6" t="s">
        <v>32</v>
      </c>
      <c r="R6" s="6" t="s">
        <v>31</v>
      </c>
      <c r="S6" s="7" t="s">
        <v>33</v>
      </c>
      <c r="T6" s="7" t="s">
        <v>34</v>
      </c>
    </row>
    <row r="7" ht="17.25" customHeight="1" spans="1:20" x14ac:dyDescent="0.25">
      <c r="A7" s="4" t="s">
        <v>26</v>
      </c>
      <c r="C7"/>
      <c r="H7" s="4">
        <f>IF(D7&lt;2*G7,"OK","NG")</f>
      </c>
      <c r="I7" s="4"/>
      <c r="K7" s="6" t="s">
        <v>35</v>
      </c>
      <c r="M7" s="5" t="s">
        <v>36</v>
      </c>
      <c r="N7" s="6" t="s">
        <v>35</v>
      </c>
      <c r="O7" s="6" t="s">
        <v>37</v>
      </c>
      <c r="P7" s="6" t="s">
        <v>38</v>
      </c>
      <c r="Q7" s="6" t="s">
        <v>39</v>
      </c>
      <c r="R7" s="6" t="s">
        <v>38</v>
      </c>
      <c r="S7" s="7" t="s">
        <v>40</v>
      </c>
      <c r="T7" s="7" t="s">
        <v>41</v>
      </c>
    </row>
    <row r="8" ht="17.25" customHeight="1" spans="1:20" x14ac:dyDescent="0.25">
      <c r="A8" s="4" t="s">
        <v>42</v>
      </c>
      <c r="C8"/>
      <c r="H8" s="4">
        <f>IF(D8&lt;2*G8,"OK","NG")</f>
      </c>
      <c r="I8" s="4"/>
      <c r="K8" s="6" t="s">
        <v>43</v>
      </c>
      <c r="M8" s="5" t="s">
        <v>44</v>
      </c>
      <c r="N8" s="6" t="s">
        <v>43</v>
      </c>
      <c r="O8" s="6" t="s">
        <v>45</v>
      </c>
      <c r="P8" s="6" t="s">
        <v>46</v>
      </c>
      <c r="Q8" s="6" t="s">
        <v>47</v>
      </c>
      <c r="R8" s="6" t="s">
        <v>46</v>
      </c>
      <c r="S8" s="7" t="s">
        <v>48</v>
      </c>
      <c r="T8" s="7" t="s">
        <v>49</v>
      </c>
    </row>
    <row r="9" ht="17.25" customHeight="1" spans="1:20" x14ac:dyDescent="0.25">
      <c r="A9" s="4" t="s">
        <v>34</v>
      </c>
      <c r="C9"/>
      <c r="H9" s="4">
        <f>IF(D9&lt;2*G9,"OK","NG")</f>
      </c>
      <c r="I9" s="4"/>
      <c r="K9" s="6" t="s">
        <v>50</v>
      </c>
      <c r="M9" s="5" t="s">
        <v>51</v>
      </c>
      <c r="N9" s="6" t="s">
        <v>50</v>
      </c>
      <c r="O9" s="6" t="s">
        <v>52</v>
      </c>
      <c r="P9" s="6" t="s">
        <v>53</v>
      </c>
      <c r="Q9" s="6" t="s">
        <v>54</v>
      </c>
      <c r="R9" s="6" t="s">
        <v>53</v>
      </c>
      <c r="S9" s="7" t="s">
        <v>55</v>
      </c>
      <c r="T9" s="7" t="s">
        <v>56</v>
      </c>
    </row>
    <row r="10" ht="17.25" customHeight="1" spans="1:18" x14ac:dyDescent="0.25">
      <c r="A10" s="4" t="s">
        <v>57</v>
      </c>
      <c r="C10"/>
      <c r="H10" s="4">
        <f>IF(D10&lt;2*G10,"OK","NG")</f>
      </c>
      <c r="I10" s="4"/>
      <c r="K10" s="6" t="s">
        <v>58</v>
      </c>
      <c r="M10" s="5" t="s">
        <v>59</v>
      </c>
      <c r="N10" s="6" t="s">
        <v>58</v>
      </c>
      <c r="O10" s="6" t="s">
        <v>60</v>
      </c>
      <c r="P10" s="6" t="s">
        <v>61</v>
      </c>
      <c r="Q10" s="6" t="s">
        <v>62</v>
      </c>
      <c r="R10" s="6" t="s">
        <v>61</v>
      </c>
    </row>
    <row r="11" ht="17.25" customHeight="1" spans="1:18" x14ac:dyDescent="0.25">
      <c r="A11" s="4" t="s">
        <v>41</v>
      </c>
      <c r="C11"/>
      <c r="H11" s="4">
        <f>IF(D11&lt;2*G11,"OK","NG")</f>
      </c>
      <c r="I11" s="4"/>
      <c r="K11" s="6" t="s">
        <v>63</v>
      </c>
      <c r="M11" s="5" t="s">
        <v>64</v>
      </c>
      <c r="N11" s="6" t="s">
        <v>63</v>
      </c>
      <c r="O11" s="6" t="s">
        <v>65</v>
      </c>
      <c r="P11" s="6" t="s">
        <v>66</v>
      </c>
      <c r="Q11" s="6" t="s">
        <v>67</v>
      </c>
      <c r="R11" s="6" t="s">
        <v>66</v>
      </c>
    </row>
    <row r="12" ht="17.25" customHeight="1" spans="1:13" x14ac:dyDescent="0.25">
      <c r="A12" s="4" t="s">
        <v>68</v>
      </c>
      <c r="C12"/>
      <c r="H12" s="4">
        <f>IF(D12&lt;2*G12,"OK","NG")</f>
      </c>
      <c r="I12" s="4"/>
      <c r="K12" s="7" t="s">
        <v>25</v>
      </c>
      <c r="M12" s="5" t="s">
        <v>69</v>
      </c>
    </row>
    <row r="13" ht="17.25" customHeight="1" spans="1:13" x14ac:dyDescent="0.25">
      <c r="A13" s="4" t="s">
        <v>70</v>
      </c>
      <c r="C13"/>
      <c r="H13" s="4">
        <f>IF(D13&lt;2*G13,"OK","NG")</f>
      </c>
      <c r="I13" s="4"/>
      <c r="K13" s="7" t="s">
        <v>33</v>
      </c>
      <c r="M13" s="5" t="s">
        <v>71</v>
      </c>
    </row>
    <row r="14" ht="17.25" customHeight="1" spans="1:13" x14ac:dyDescent="0.25">
      <c r="A14" s="4" t="s">
        <v>49</v>
      </c>
      <c r="C14"/>
      <c r="H14" s="4">
        <f>IF(D14&lt;2*G14,"OK","NG")</f>
      </c>
      <c r="I14" s="4"/>
      <c r="K14" s="7" t="s">
        <v>40</v>
      </c>
      <c r="M14" s="6" t="s">
        <v>72</v>
      </c>
    </row>
    <row r="15" ht="17.25" customHeight="1" spans="1:13" x14ac:dyDescent="0.25">
      <c r="A15" s="4" t="s">
        <v>73</v>
      </c>
      <c r="C15"/>
      <c r="I15"/>
      <c r="K15" s="7" t="s">
        <v>48</v>
      </c>
      <c r="M15" s="6" t="s">
        <v>74</v>
      </c>
    </row>
    <row r="16" ht="17.25" customHeight="1" spans="1:13" x14ac:dyDescent="0.25">
      <c r="A16" s="4" t="s">
        <v>75</v>
      </c>
      <c r="C16"/>
      <c r="H16" s="4">
        <f>IF(D16&lt;2*G16,"OK","NG")</f>
      </c>
      <c r="I16" s="4"/>
      <c r="K16" s="7" t="s">
        <v>55</v>
      </c>
      <c r="M16" s="6" t="s">
        <v>76</v>
      </c>
    </row>
    <row r="17" ht="17.25" customHeight="1" spans="1:9" x14ac:dyDescent="0.25">
      <c r="A17" s="4" t="s">
        <v>77</v>
      </c>
      <c r="C17"/>
      <c r="H17" s="4">
        <f>IF(D17&lt;2*G17,"OK","NG")</f>
      </c>
      <c r="I17" s="4"/>
    </row>
    <row r="18" ht="17.25" customHeight="1" spans="1:13" x14ac:dyDescent="0.25">
      <c r="A18" s="4" t="s">
        <v>78</v>
      </c>
      <c r="C18"/>
      <c r="H18" s="4">
        <f>IF(D18&lt;2*G18,"OK","NG")</f>
      </c>
      <c r="I18" s="4"/>
      <c r="M18" s="8" t="s">
        <v>8</v>
      </c>
    </row>
    <row r="19" ht="17.25" customHeight="1" spans="1:13" x14ac:dyDescent="0.25">
      <c r="A19" s="4" t="s">
        <v>56</v>
      </c>
      <c r="C19"/>
      <c r="H19" s="4">
        <f>IF(D19&lt;2*G19,"OK","NG")</f>
      </c>
      <c r="I19" s="4"/>
      <c r="K19" s="7" t="s">
        <v>79</v>
      </c>
      <c r="M19" s="8" t="s">
        <v>80</v>
      </c>
    </row>
    <row r="20" ht="16.5" customHeight="1" spans="1:13" x14ac:dyDescent="0.25">
      <c r="A20" s="3" t="s">
        <v>81</v>
      </c>
      <c r="B20" s="3"/>
      <c r="C20" s="3" t="s">
        <v>82</v>
      </c>
      <c r="D20" s="3"/>
      <c r="E20" s="3"/>
      <c r="F20" s="3"/>
      <c r="G20" s="3"/>
      <c r="H20" s="3"/>
      <c r="I20" s="3"/>
      <c r="K20" s="7" t="s">
        <v>83</v>
      </c>
      <c r="M20" s="8" t="s">
        <v>84</v>
      </c>
    </row>
    <row r="21" spans="1:13" x14ac:dyDescent="0.25">
      <c r="B21"/>
      <c r="C21" s="4" t="s">
        <v>85</v>
      </c>
      <c r="D21" s="4"/>
      <c r="E21" s="4"/>
      <c r="F21" s="4"/>
      <c r="G21" s="4"/>
      <c r="H21" s="4" t="s">
        <v>11</v>
      </c>
      <c r="I21" s="4" t="s">
        <v>86</v>
      </c>
      <c r="K21" s="7" t="s">
        <v>87</v>
      </c>
      <c r="M21" s="8" t="s">
        <v>88</v>
      </c>
    </row>
    <row r="22" spans="1:9" x14ac:dyDescent="0.25">
      <c r="A22"/>
      <c r="B22"/>
      <c r="C22" s="4"/>
      <c r="D22" s="4"/>
      <c r="E22" s="4"/>
      <c r="F22" s="4"/>
      <c r="G22" s="4"/>
      <c r="H22" s="4"/>
      <c r="I22" s="4"/>
    </row>
    <row r="23" spans="1:9" x14ac:dyDescent="0.25">
      <c r="A23" s="4" t="s">
        <v>89</v>
      </c>
      <c r="B23" s="4"/>
      <c r="D23"/>
      <c r="E23"/>
      <c r="F23"/>
      <c r="G23"/>
    </row>
    <row r="24" spans="1:9" x14ac:dyDescent="0.25">
      <c r="A24" s="4"/>
      <c r="B24" s="4"/>
      <c r="C24"/>
      <c r="D24"/>
      <c r="E24"/>
      <c r="F24"/>
      <c r="G24"/>
      <c r="H24"/>
      <c r="I24"/>
    </row>
    <row r="25" spans="1:9" x14ac:dyDescent="0.25">
      <c r="A25" s="4"/>
      <c r="B25" s="4"/>
      <c r="C25"/>
      <c r="D25"/>
      <c r="E25"/>
      <c r="F25"/>
      <c r="G25"/>
      <c r="H25"/>
      <c r="I25"/>
    </row>
    <row r="26" spans="1:9" x14ac:dyDescent="0.25">
      <c r="A26" s="4"/>
      <c r="B26" s="4"/>
      <c r="C26"/>
      <c r="D26"/>
      <c r="E26"/>
      <c r="F26"/>
      <c r="G26"/>
      <c r="H26"/>
      <c r="I26"/>
    </row>
    <row r="27" spans="1:9" x14ac:dyDescent="0.25">
      <c r="A27" s="4"/>
      <c r="B27" s="4"/>
      <c r="C27"/>
      <c r="D27"/>
      <c r="E27"/>
      <c r="F27"/>
      <c r="G27"/>
      <c r="H27"/>
      <c r="I27"/>
    </row>
    <row r="28" spans="1:9" x14ac:dyDescent="0.25">
      <c r="A28" s="4"/>
      <c r="B28" s="4"/>
      <c r="C28"/>
      <c r="D28"/>
      <c r="E28"/>
      <c r="F28"/>
      <c r="G28"/>
      <c r="H28"/>
      <c r="I28"/>
    </row>
    <row r="29" spans="1:9" x14ac:dyDescent="0.25">
      <c r="A29" s="4"/>
      <c r="B29" s="4"/>
      <c r="C29"/>
      <c r="D29"/>
      <c r="E29"/>
      <c r="F29"/>
      <c r="G29"/>
      <c r="H29"/>
      <c r="I29"/>
    </row>
    <row r="30" spans="1:9" x14ac:dyDescent="0.25">
      <c r="A30" s="4"/>
      <c r="B30" s="4"/>
      <c r="C30"/>
      <c r="D30"/>
      <c r="E30"/>
      <c r="F30"/>
      <c r="G30"/>
      <c r="H30"/>
      <c r="I30"/>
    </row>
    <row r="31" spans="1:9" x14ac:dyDescent="0.25">
      <c r="A31" s="4"/>
      <c r="B31" s="4"/>
      <c r="C31"/>
      <c r="D31"/>
      <c r="E31"/>
      <c r="F31"/>
      <c r="G31"/>
      <c r="H31"/>
      <c r="I31"/>
    </row>
    <row r="32" spans="1:9" x14ac:dyDescent="0.25">
      <c r="A32" s="4"/>
      <c r="B32" s="4"/>
      <c r="C32"/>
      <c r="D32"/>
      <c r="E32"/>
      <c r="F32"/>
      <c r="G32"/>
      <c r="H32"/>
      <c r="I32"/>
    </row>
    <row r="33" ht="18" customHeight="1" spans="1:12" x14ac:dyDescent="0.25">
      <c r="A33" s="4"/>
      <c r="B33" s="4"/>
      <c r="C33"/>
      <c r="D33"/>
      <c r="E33"/>
      <c r="F33"/>
      <c r="G33"/>
      <c r="H33"/>
      <c r="I33"/>
      <c r="K33" s="9" t="s">
        <v>90</v>
      </c>
      <c r="L33" s="9"/>
    </row>
    <row r="34" spans="1:9" x14ac:dyDescent="0.25">
      <c r="A34" s="4" t="s">
        <v>91</v>
      </c>
      <c r="B34" s="4"/>
      <c r="D34"/>
      <c r="E34"/>
      <c r="F34"/>
      <c r="G34"/>
    </row>
    <row r="35" spans="1:9" x14ac:dyDescent="0.25">
      <c r="A35" s="4"/>
      <c r="B35" s="4"/>
      <c r="C35"/>
      <c r="D35"/>
      <c r="E35"/>
      <c r="F35"/>
      <c r="G35"/>
      <c r="H35"/>
      <c r="I35"/>
    </row>
    <row r="36" spans="1:9" x14ac:dyDescent="0.25">
      <c r="A36" s="4"/>
      <c r="B36" s="4"/>
      <c r="C36"/>
      <c r="D36"/>
      <c r="E36"/>
      <c r="F36"/>
      <c r="G36"/>
      <c r="H36"/>
      <c r="I36"/>
    </row>
    <row r="37" spans="1:9" x14ac:dyDescent="0.25">
      <c r="A37" s="4"/>
      <c r="B37" s="4"/>
      <c r="C37"/>
      <c r="D37"/>
      <c r="E37"/>
      <c r="F37"/>
      <c r="G37"/>
      <c r="H37"/>
      <c r="I37"/>
    </row>
    <row r="38" spans="1:9" x14ac:dyDescent="0.25">
      <c r="A38" s="4"/>
      <c r="B38" s="4"/>
      <c r="C38"/>
      <c r="D38"/>
      <c r="E38"/>
      <c r="F38"/>
      <c r="G38"/>
      <c r="H38"/>
      <c r="I38"/>
    </row>
    <row r="39" spans="1:9" x14ac:dyDescent="0.25">
      <c r="A39" s="4"/>
      <c r="B39" s="4"/>
      <c r="C39"/>
      <c r="D39"/>
      <c r="E39"/>
      <c r="F39"/>
      <c r="G39"/>
      <c r="H39"/>
      <c r="I39"/>
    </row>
    <row r="40" spans="1:9" x14ac:dyDescent="0.25">
      <c r="A40" s="4"/>
      <c r="B40" s="4"/>
      <c r="C40"/>
      <c r="D40"/>
      <c r="E40"/>
      <c r="F40"/>
      <c r="G40"/>
      <c r="H40"/>
      <c r="I40"/>
    </row>
    <row r="41" spans="1:9" x14ac:dyDescent="0.25">
      <c r="A41" s="4"/>
      <c r="B41" s="4"/>
      <c r="C41"/>
      <c r="D41"/>
      <c r="E41"/>
      <c r="F41"/>
      <c r="G41"/>
      <c r="H41"/>
      <c r="I41"/>
    </row>
    <row r="42" spans="1:9" x14ac:dyDescent="0.25">
      <c r="A42" s="4"/>
      <c r="B42" s="4"/>
      <c r="C42"/>
      <c r="D42"/>
      <c r="E42"/>
      <c r="F42"/>
      <c r="G42"/>
      <c r="H42"/>
      <c r="I42"/>
    </row>
    <row r="43" spans="1:9" x14ac:dyDescent="0.25">
      <c r="A43" s="4"/>
      <c r="B43" s="4"/>
      <c r="C43"/>
      <c r="D43"/>
      <c r="E43"/>
      <c r="F43"/>
      <c r="G43"/>
      <c r="H43"/>
      <c r="I43"/>
    </row>
    <row r="44" spans="1:9" x14ac:dyDescent="0.25">
      <c r="A44" s="4"/>
      <c r="B44" s="4"/>
      <c r="C44"/>
      <c r="D44"/>
      <c r="E44"/>
      <c r="F44"/>
      <c r="G44"/>
      <c r="H44"/>
      <c r="I44"/>
    </row>
  </sheetData>
  <mergeCells count="51">
    <mergeCell ref="A1:B2"/>
    <mergeCell ref="C1:G2"/>
    <mergeCell ref="A3:B3"/>
    <mergeCell ref="C3:I3"/>
    <mergeCell ref="B4:C4"/>
    <mergeCell ref="H4:I4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B20"/>
    <mergeCell ref="C20:I20"/>
    <mergeCell ref="A21:B22"/>
    <mergeCell ref="C21:G22"/>
    <mergeCell ref="H21:H22"/>
    <mergeCell ref="I21:I22"/>
    <mergeCell ref="A23:B33"/>
    <mergeCell ref="C23:G33"/>
    <mergeCell ref="H23:H33"/>
    <mergeCell ref="I23:I33"/>
    <mergeCell ref="K33:L33"/>
    <mergeCell ref="A34:B44"/>
    <mergeCell ref="C34:G44"/>
    <mergeCell ref="H34:H44"/>
    <mergeCell ref="I34:I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安全部件检查表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2025-11-30T14:43:05Z</dcterms:created>
  <dcterms:modified xsi:type="dcterms:W3CDTF">2025-11-30T14:43:05Z</dcterms:modified>
</cp:coreProperties>
</file>