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机床参数检查表" state="visible" r:id="rId4"/>
  </sheets>
  <calcPr calcId="171027"/>
</workbook>
</file>

<file path=xl/sharedStrings.xml><?xml version="1.0" encoding="utf-8"?>
<sst xmlns="http://schemas.openxmlformats.org/spreadsheetml/2006/main" count="143" uniqueCount="86">
  <si>
    <t>安徽江福科技有限公司</t>
  </si>
  <si>
    <t>编号：</t>
  </si>
  <si>
    <t>日期</t>
  </si>
  <si>
    <t>设计人员：</t>
  </si>
  <si>
    <t>结论</t>
  </si>
  <si>
    <t>模具自检表</t>
  </si>
  <si>
    <t>校对人员:</t>
  </si>
  <si>
    <t xml:space="preserve">     产品名:</t>
  </si>
  <si>
    <t>审核人员：</t>
  </si>
  <si>
    <t>模具图号:</t>
  </si>
  <si>
    <t>OK：√    NG：×    无检查项：无</t>
  </si>
  <si>
    <t>NO.</t>
  </si>
  <si>
    <t>检 查 点</t>
  </si>
  <si>
    <t>自检</t>
  </si>
  <si>
    <t>审核</t>
  </si>
  <si>
    <t>备注</t>
  </si>
  <si>
    <t>S</t>
  </si>
  <si>
    <t>1</t>
  </si>
  <si>
    <t>生产方式是否正确；（手动生产/自动线生产）</t>
  </si>
  <si>
    <t>OK</t>
  </si>
  <si>
    <t>统计</t>
  </si>
  <si>
    <t>2</t>
  </si>
  <si>
    <t>送料方式的正确性；（平动送料/旋转180°送料）</t>
  </si>
  <si>
    <t>结果</t>
  </si>
  <si>
    <t>项数</t>
  </si>
  <si>
    <t>比例</t>
  </si>
  <si>
    <t>3</t>
  </si>
  <si>
    <t>3.1 机床使用</t>
  </si>
  <si>
    <t>√</t>
  </si>
  <si>
    <t>链接到目录</t>
  </si>
  <si>
    <t>3.2 压板槽</t>
  </si>
  <si>
    <t>与机床库实体的一致性检查，含位置、尺寸、快夹行程、装夹空间等</t>
  </si>
  <si>
    <t>×</t>
  </si>
  <si>
    <t>总计</t>
  </si>
  <si>
    <t>3.3 键槽/通槽</t>
  </si>
  <si>
    <t>无</t>
  </si>
  <si>
    <t>3.4 快速定位</t>
  </si>
  <si>
    <t>3.5 顶杆</t>
  </si>
  <si>
    <t>4</t>
  </si>
  <si>
    <t>4.1 闭模高度</t>
  </si>
  <si>
    <t>4.2 存放高度</t>
  </si>
  <si>
    <t>4.3 通过性</t>
  </si>
  <si>
    <t>模具工作、存放状态下是否满足设备侧移门高度要求:</t>
  </si>
  <si>
    <t>主</t>
  </si>
  <si>
    <t>5</t>
  </si>
  <si>
    <t>自动线前后序送料高度落差是否符合要求,前后序送料高尺寸偏差数值(100MM )；(一个件统一排查，每个项目都需要单独确认）。</t>
  </si>
  <si>
    <t>NG</t>
  </si>
  <si>
    <t>6</t>
  </si>
  <si>
    <t>6.1 横杆位置</t>
  </si>
  <si>
    <t>是否有自动化干涉曲线? 若有，横杆位置和高度是否正确？</t>
  </si>
  <si>
    <t>6.2 干涉空间</t>
  </si>
  <si>
    <t>副</t>
  </si>
  <si>
    <t>7</t>
  </si>
  <si>
    <t>设备负荷</t>
  </si>
  <si>
    <t>8</t>
  </si>
  <si>
    <t>9</t>
  </si>
  <si>
    <t>是否成线生产；</t>
  </si>
  <si>
    <t>10</t>
  </si>
  <si>
    <t>11</t>
  </si>
  <si>
    <t>12</t>
  </si>
  <si>
    <t>乘用车二厂：行车：大钩40，小钩16.宋方金2017.10</t>
  </si>
  <si>
    <t>主线机床检查</t>
  </si>
  <si>
    <t>截图核查项</t>
  </si>
  <si>
    <t>主项次</t>
  </si>
  <si>
    <t>分项次</t>
  </si>
  <si>
    <t>内容</t>
  </si>
  <si>
    <t>设计自检贴图栏</t>
  </si>
  <si>
    <t>审核贴图栏</t>
  </si>
  <si>
    <t>3.机床通用参数的正确性</t>
  </si>
  <si>
    <t>3.1</t>
  </si>
  <si>
    <t>3.2</t>
  </si>
  <si>
    <t>3.3</t>
  </si>
  <si>
    <t>3.4</t>
  </si>
  <si>
    <t>3.5</t>
  </si>
  <si>
    <t>4.模具闭合高度</t>
  </si>
  <si>
    <t>4.1</t>
  </si>
  <si>
    <t>5.自动线送料高</t>
  </si>
  <si>
    <t>5.1</t>
  </si>
  <si>
    <t>6.自动线取料</t>
  </si>
  <si>
    <t>6.1</t>
  </si>
  <si>
    <t>6.2</t>
  </si>
  <si>
    <t>8.偏心检查</t>
  </si>
  <si>
    <t>8.1</t>
  </si>
  <si>
    <t>9.排料检查</t>
  </si>
  <si>
    <t>9.1</t>
  </si>
  <si>
    <t>副线机床检查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</si>
</sst>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000000"/>
      <sz val="12"/>
      <name val="宋体"/>
    </font>
    <font>
      <b/>
      <color rgb="FF000000"/>
      <sz val="14"/>
      <name val="宋体"/>
    </font>
    <font>
      <b/>
      <color rgb="FF000000"/>
      <sz val="11"/>
      <name val="宋体"/>
    </font>
    <font>
      <color rgb="FF000000"/>
      <sz val="11"/>
      <name val="宋体"/>
    </font>
    <font>
      <sz val="12"/>
      <name val="宋体"/>
    </font>
    <font>
      <sz val="11"/>
      <name val="宋体"/>
    </font>
    <font>
      <b/>
      <sz val="11"/>
      <name val="宋体"/>
    </font>
    <font>
      <sz val="10"/>
      <name val="宋体"/>
    </font>
    <font>
      <color rgb="FF800080"/>
      <sz val="24"/>
      <name val="宋体"/>
    </font>
    <font>
      <b/>
      <color rgb="FF0000FF"/>
      <sz val="11"/>
      <name val="宋体"/>
    </font>
    <font>
      <color rgb="FFFF0000"/>
      <sz val="11"/>
      <name val="宋体"/>
    </font>
    <font>
      <sz val="36"/>
      <name val="宋体"/>
    </font>
    <font>
      <sz val="20"/>
      <name val="宋体"/>
    </font>
    <font>
      <sz val="14"/>
      <name val="宋体"/>
    </font>
    <font>
      <b/>
      <sz val="14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FormatPr defaultRowHeight="15" outlineLevelRow="0" outlineLevelCol="0" x14ac:dyDescent="55"/>
  <cols>
    <col min="1" max="1" width="4.75" customWidth="1"/>
    <col min="2" max="2" width="13.625" customWidth="1"/>
    <col min="3" max="3" width="13.875" customWidth="1"/>
    <col min="4" max="4" width="73.875" customWidth="1"/>
    <col min="5" max="5" width="6.375" customWidth="1"/>
    <col min="6" max="6" width="11.125" customWidth="1"/>
    <col min="7" max="9" width="14.625" customWidth="1"/>
    <col min="10" max="10" width="6.375" customWidth="1"/>
    <col min="11" max="11" width="2.75" customWidth="1"/>
    <col min="13" max="15" width="3.625" customWidth="1"/>
    <col min="16" max="17" width="6.5" customWidth="1"/>
    <col min="18" max="16384" width="7.75" customWidth="1"/>
  </cols>
  <sheetData>
    <row r="1" ht="20.25" customHeight="1" spans="1:12" x14ac:dyDescent="0.25">
      <c r="A1" s="1"/>
      <c r="B1" s="1"/>
      <c r="C1" s="2" t="s">
        <v>0</v>
      </c>
      <c r="D1" s="2"/>
      <c r="E1" s="2"/>
      <c r="F1" s="2"/>
      <c r="G1" s="2"/>
      <c r="H1" s="3" t="s">
        <v>1</v>
      </c>
      <c r="I1" s="3"/>
      <c r="J1" s="4"/>
      <c r="K1" s="4"/>
      <c r="L1" s="5" t="s">
        <v>2</v>
      </c>
    </row>
    <row r="2" ht="20.25" customHeight="1" spans="1:16" x14ac:dyDescent="0.25">
      <c r="A2" s="1"/>
      <c r="B2" s="1"/>
      <c r="C2" s="2"/>
      <c r="D2" s="2"/>
      <c r="E2" s="2"/>
      <c r="F2" s="2"/>
      <c r="G2" s="2"/>
      <c r="H2" s="3" t="s">
        <v>3</v>
      </c>
      <c r="I2" s="3"/>
      <c r="J2" s="4">
        <f>[40]目录!H10</f>
      </c>
      <c r="K2" s="4"/>
      <c r="L2" s="6">
        <f>[40]目录!J10</f>
      </c>
      <c r="M2" s="7" t="s">
        <v>4</v>
      </c>
      <c r="N2" s="8">
        <f>IF(O14+O18+O21=0,"OK","NG")</f>
      </c>
      <c r="O2" s="8"/>
      <c r="P2" s="8"/>
    </row>
    <row r="3" ht="20.25" customHeight="1" spans="1:16" x14ac:dyDescent="0.25">
      <c r="A3" s="1"/>
      <c r="B3" s="1"/>
      <c r="C3" s="9" t="s">
        <v>5</v>
      </c>
      <c r="D3" s="9"/>
      <c r="E3" s="9"/>
      <c r="F3" s="9"/>
      <c r="G3" s="9"/>
      <c r="H3" s="3" t="s">
        <v>6</v>
      </c>
      <c r="I3" s="3"/>
      <c r="J3" s="4">
        <f>[40]目录!H11</f>
      </c>
      <c r="K3" s="4"/>
      <c r="L3" s="6">
        <f>[40]目录!J11</f>
      </c>
      <c r="M3" s="7"/>
      <c r="N3" s="8"/>
      <c r="O3" s="8"/>
      <c r="P3" s="8"/>
    </row>
    <row r="4" ht="20.25" customHeight="1" spans="1:16" x14ac:dyDescent="0.25">
      <c r="A4" s="6" t="s">
        <v>7</v>
      </c>
      <c r="B4" s="6"/>
      <c r="C4" s="4">
        <f>[40]目录!H5</f>
      </c>
      <c r="D4" s="4"/>
      <c r="E4" s="10"/>
      <c r="F4" s="10"/>
      <c r="G4" s="10"/>
      <c r="H4" s="3" t="s">
        <v>8</v>
      </c>
      <c r="I4" s="3"/>
      <c r="J4" s="4">
        <f>[40]目录!H12</f>
      </c>
      <c r="K4" s="4"/>
      <c r="L4" s="6">
        <f>[40]目录!J12</f>
      </c>
      <c r="M4" s="7"/>
      <c r="N4" s="8"/>
      <c r="O4" s="8"/>
      <c r="P4" s="8"/>
    </row>
    <row r="5" ht="20.25" customHeight="1" spans="1:16" x14ac:dyDescent="0.25">
      <c r="A5" s="11" t="s">
        <v>9</v>
      </c>
      <c r="B5" s="11"/>
      <c r="C5" s="11">
        <f>[40]目录!H8</f>
      </c>
      <c r="D5" s="11"/>
      <c r="E5" s="11" t="s">
        <v>10</v>
      </c>
      <c r="F5" s="11"/>
      <c r="G5" s="11"/>
      <c r="H5" s="11"/>
      <c r="I5" s="11"/>
      <c r="J5" s="11"/>
      <c r="K5" s="11"/>
      <c r="L5" s="11"/>
      <c r="M5" s="7"/>
      <c r="N5" s="8"/>
      <c r="O5" s="8"/>
      <c r="P5" s="8"/>
    </row>
    <row r="6" ht="14.25" customHeight="1" spans="1:17" x14ac:dyDescent="0.25">
      <c r="A6" s="12" t="s">
        <v>11</v>
      </c>
      <c r="B6" s="13" t="s">
        <v>12</v>
      </c>
      <c r="C6" s="13"/>
      <c r="D6" s="13"/>
      <c r="E6" s="13"/>
      <c r="F6" s="13"/>
      <c r="G6" s="13"/>
      <c r="H6" s="14" t="s">
        <v>13</v>
      </c>
      <c r="I6" s="14" t="s">
        <v>14</v>
      </c>
      <c r="J6" s="12" t="s">
        <v>15</v>
      </c>
      <c r="K6" s="12"/>
      <c r="L6" s="12"/>
      <c r="Q6" s="15" t="s">
        <v>16</v>
      </c>
    </row>
    <row r="7" ht="14.25" customHeight="1" spans="1:12" x14ac:dyDescent="0.25">
      <c r="A7" s="12"/>
      <c r="B7" s="13"/>
      <c r="C7" s="13"/>
      <c r="D7" s="13"/>
      <c r="E7" s="13"/>
      <c r="F7" s="13"/>
      <c r="G7" s="13"/>
      <c r="H7" s="14"/>
      <c r="I7" s="14"/>
      <c r="J7" s="12"/>
      <c r="K7" s="12"/>
      <c r="L7" s="12"/>
    </row>
    <row r="8" ht="30" customHeight="1" spans="1:17" x14ac:dyDescent="0.25">
      <c r="A8" s="13" t="s">
        <v>17</v>
      </c>
      <c r="B8" s="16" t="s">
        <v>18</v>
      </c>
      <c r="C8" s="16"/>
      <c r="D8" s="16"/>
      <c r="E8" s="16"/>
      <c r="F8" s="16"/>
      <c r="G8" s="16"/>
      <c r="H8" s="12" t="s">
        <v>19</v>
      </c>
      <c r="I8" s="17"/>
      <c r="J8" s="12"/>
      <c r="K8" s="12"/>
      <c r="L8" s="12"/>
      <c r="M8" s="18" t="s">
        <v>20</v>
      </c>
      <c r="N8" s="18"/>
      <c r="O8" s="18"/>
      <c r="P8" s="18"/>
      <c r="Q8" s="18"/>
    </row>
    <row r="9" ht="30" customHeight="1" spans="1:17" x14ac:dyDescent="0.25">
      <c r="A9" s="13" t="s">
        <v>21</v>
      </c>
      <c r="B9" s="16" t="s">
        <v>22</v>
      </c>
      <c r="C9" s="16"/>
      <c r="D9" s="16"/>
      <c r="E9" s="16"/>
      <c r="F9" s="16"/>
      <c r="G9" s="16"/>
      <c r="H9" s="17" t="s">
        <v>19</v>
      </c>
      <c r="I9" s="17"/>
      <c r="J9" s="12"/>
      <c r="K9" s="12"/>
      <c r="L9" s="12"/>
      <c r="M9" s="18"/>
      <c r="N9" s="18" t="s">
        <v>23</v>
      </c>
      <c r="O9" s="18" t="s">
        <v>24</v>
      </c>
      <c r="P9" s="18" t="s">
        <v>25</v>
      </c>
      <c r="Q9" s="18"/>
    </row>
    <row r="10" ht="30" customHeight="1" spans="1:18" x14ac:dyDescent="0.25">
      <c r="A10" s="11" t="s">
        <v>26</v>
      </c>
      <c r="B10" s="12"/>
      <c r="C10" s="16" t="s">
        <v>27</v>
      </c>
      <c r="D10" s="15"/>
      <c r="E10" s="15"/>
      <c r="F10" s="15"/>
      <c r="G10" s="15"/>
      <c r="H10" s="12" t="s">
        <v>19</v>
      </c>
      <c r="I10" s="17"/>
      <c r="J10" s="12"/>
      <c r="K10" s="12"/>
      <c r="L10" s="12"/>
      <c r="M10" s="18" t="s">
        <v>13</v>
      </c>
      <c r="N10" s="18" t="s">
        <v>28</v>
      </c>
      <c r="O10" s="18">
        <f>COUNTIF(H8:H26,"√")</f>
      </c>
      <c r="P10" s="18">
        <f>O10/Q12</f>
      </c>
      <c r="Q10" s="18"/>
      <c r="R10" s="19" t="s">
        <v>29</v>
      </c>
    </row>
    <row r="11" ht="30" customHeight="1" spans="1:18" x14ac:dyDescent="0.25">
      <c r="A11" s="11"/>
      <c r="B11" s="12"/>
      <c r="C11" s="16" t="s">
        <v>30</v>
      </c>
      <c r="D11" s="15" t="s">
        <v>31</v>
      </c>
      <c r="E11" s="15"/>
      <c r="F11" s="15"/>
      <c r="G11" s="15"/>
      <c r="H11" s="17" t="s">
        <v>19</v>
      </c>
      <c r="I11" s="17"/>
      <c r="J11" s="12"/>
      <c r="K11" s="12"/>
      <c r="L11" s="12"/>
      <c r="M11" s="18"/>
      <c r="N11" s="18" t="s">
        <v>32</v>
      </c>
      <c r="O11" s="18">
        <f>COUNTIF(H8:H26,"×")</f>
      </c>
      <c r="P11" s="18">
        <f>O11/Q12</f>
      </c>
      <c r="Q11" s="18" t="s">
        <v>33</v>
      </c>
      <c r="R11" s="19"/>
    </row>
    <row r="12" ht="30" customHeight="1" spans="1:18" x14ac:dyDescent="0.25">
      <c r="A12" s="11"/>
      <c r="B12" s="12"/>
      <c r="C12" s="16" t="s">
        <v>34</v>
      </c>
      <c r="D12" s="20"/>
      <c r="E12" s="20"/>
      <c r="F12" s="20"/>
      <c r="G12" s="20"/>
      <c r="H12" s="12" t="s">
        <v>19</v>
      </c>
      <c r="I12" s="17"/>
      <c r="J12" s="12"/>
      <c r="K12" s="12"/>
      <c r="L12" s="12"/>
      <c r="M12" s="18"/>
      <c r="N12" s="18" t="s">
        <v>35</v>
      </c>
      <c r="O12" s="18">
        <f>COUNTIF(H8:H26,"无")</f>
      </c>
      <c r="P12" s="18">
        <f>O12/Q12</f>
      </c>
      <c r="Q12" s="18">
        <f>SUM(O10:O12)</f>
      </c>
      <c r="R12" s="19"/>
    </row>
    <row r="13" ht="30" customHeight="1" spans="1:18" x14ac:dyDescent="0.25">
      <c r="A13" s="11"/>
      <c r="B13" s="12"/>
      <c r="C13" s="16" t="s">
        <v>36</v>
      </c>
      <c r="D13" s="20"/>
      <c r="E13" s="20"/>
      <c r="F13" s="20"/>
      <c r="G13" s="20"/>
      <c r="H13" s="17" t="s">
        <v>19</v>
      </c>
      <c r="I13" s="17"/>
      <c r="J13" s="12"/>
      <c r="K13" s="12"/>
      <c r="L13" s="12"/>
      <c r="M13" s="18" t="s">
        <v>14</v>
      </c>
      <c r="N13" s="18" t="s">
        <v>28</v>
      </c>
      <c r="O13" s="18">
        <f>COUNTIF(I8:I26,"√")</f>
      </c>
      <c r="P13" s="18">
        <f>O13/Q15</f>
      </c>
      <c r="Q13" s="18"/>
      <c r="R13" s="19"/>
    </row>
    <row r="14" ht="45" customHeight="1" spans="1:18" x14ac:dyDescent="0.25">
      <c r="A14" s="11"/>
      <c r="B14" s="12"/>
      <c r="C14" s="16" t="s">
        <v>37</v>
      </c>
      <c r="D14" s="20"/>
      <c r="E14" s="20"/>
      <c r="F14" s="20"/>
      <c r="G14" s="20"/>
      <c r="H14" s="12" t="s">
        <v>19</v>
      </c>
      <c r="I14" s="17"/>
      <c r="J14" s="12"/>
      <c r="K14" s="12"/>
      <c r="L14" s="12"/>
      <c r="M14" s="18"/>
      <c r="N14" s="18" t="s">
        <v>32</v>
      </c>
      <c r="O14" s="18">
        <f>COUNTIF(I8:I26,"×")</f>
      </c>
      <c r="P14" s="18">
        <f>O14/Q15</f>
      </c>
      <c r="Q14" s="18" t="s">
        <v>33</v>
      </c>
      <c r="R14" s="19"/>
    </row>
    <row r="15" ht="30" customHeight="1" spans="1:18" x14ac:dyDescent="0.25">
      <c r="A15" s="4" t="s">
        <v>38</v>
      </c>
      <c r="B15" s="12"/>
      <c r="C15" s="16" t="s">
        <v>39</v>
      </c>
      <c r="D15" s="16"/>
      <c r="E15" s="16"/>
      <c r="F15" s="16"/>
      <c r="G15" s="16"/>
      <c r="H15" s="17" t="s">
        <v>19</v>
      </c>
      <c r="I15" s="17"/>
      <c r="J15" s="12"/>
      <c r="K15" s="12"/>
      <c r="L15" s="12"/>
      <c r="M15" s="18"/>
      <c r="N15" s="18" t="s">
        <v>35</v>
      </c>
      <c r="O15" s="18">
        <f>COUNTIF(I8:I26,"无")</f>
      </c>
      <c r="P15" s="18">
        <f>O15/Q15</f>
      </c>
      <c r="Q15" s="18">
        <f>SUM(O13:O15)</f>
      </c>
      <c r="R15" s="19"/>
    </row>
    <row r="16" ht="30" customHeight="1" spans="1:18" x14ac:dyDescent="0.25">
      <c r="A16" s="4"/>
      <c r="B16" s="12"/>
      <c r="C16" s="16" t="s">
        <v>40</v>
      </c>
      <c r="D16" s="15"/>
      <c r="E16" s="15"/>
      <c r="F16" s="15"/>
      <c r="G16" s="15"/>
      <c r="H16" s="12" t="s">
        <v>19</v>
      </c>
      <c r="I16" s="17"/>
      <c r="J16" s="12"/>
      <c r="K16" s="12"/>
      <c r="L16" s="12"/>
      <c r="M16" s="18" t="s">
        <v>14</v>
      </c>
      <c r="N16" s="18"/>
      <c r="O16" s="18"/>
      <c r="P16" s="18"/>
      <c r="R16" s="19"/>
    </row>
    <row r="17" ht="30" customHeight="1" spans="1:18" x14ac:dyDescent="0.25">
      <c r="A17" s="4"/>
      <c r="B17" s="12"/>
      <c r="C17" s="16" t="s">
        <v>41</v>
      </c>
      <c r="D17" s="15" t="s">
        <v>42</v>
      </c>
      <c r="E17" s="15"/>
      <c r="F17" s="15"/>
      <c r="G17" s="15"/>
      <c r="H17" s="17" t="s">
        <v>19</v>
      </c>
      <c r="I17" s="17"/>
      <c r="J17" s="12"/>
      <c r="K17" s="12"/>
      <c r="L17" s="12"/>
      <c r="M17" s="18" t="s">
        <v>43</v>
      </c>
      <c r="N17" s="18" t="s">
        <v>19</v>
      </c>
      <c r="O17" s="18">
        <f>COUNTIFS(J33:J56,"ok")</f>
      </c>
      <c r="P17" s="18"/>
      <c r="R17" s="19"/>
    </row>
    <row r="18" ht="30" customHeight="1" spans="1:18" x14ac:dyDescent="0.25">
      <c r="A18" s="4" t="s">
        <v>44</v>
      </c>
      <c r="B18" s="12"/>
      <c r="C18" s="12" t="s">
        <v>45</v>
      </c>
      <c r="D18" s="12"/>
      <c r="E18" s="12"/>
      <c r="F18" s="12"/>
      <c r="G18" s="12"/>
      <c r="H18" s="12" t="s">
        <v>19</v>
      </c>
      <c r="I18" s="17"/>
      <c r="J18" s="12"/>
      <c r="K18" s="12"/>
      <c r="L18" s="12"/>
      <c r="M18" s="18"/>
      <c r="N18" s="18" t="s">
        <v>46</v>
      </c>
      <c r="O18" s="18">
        <f>COUNTIFS(J33:J56,"NG")</f>
      </c>
      <c r="P18" s="18"/>
      <c r="R18" s="19"/>
    </row>
    <row r="19" ht="30" customHeight="1" spans="1:16" x14ac:dyDescent="0.25">
      <c r="A19" s="4" t="s">
        <v>47</v>
      </c>
      <c r="B19" s="12"/>
      <c r="C19" s="13" t="s">
        <v>48</v>
      </c>
      <c r="D19" s="21" t="s">
        <v>49</v>
      </c>
      <c r="E19" s="21"/>
      <c r="F19" s="21"/>
      <c r="G19" s="21"/>
      <c r="H19" s="17" t="s">
        <v>19</v>
      </c>
      <c r="I19" s="17"/>
      <c r="J19" s="12"/>
      <c r="K19" s="12"/>
      <c r="L19" s="12"/>
      <c r="M19" s="18"/>
      <c r="N19" s="18" t="s">
        <v>35</v>
      </c>
      <c r="O19" s="18">
        <f>COUNTIFS(J33:J56,"无")</f>
      </c>
      <c r="P19" s="18"/>
    </row>
    <row r="20" ht="30" customHeight="1" spans="1:16" x14ac:dyDescent="0.25">
      <c r="A20" s="4"/>
      <c r="B20" s="12"/>
      <c r="C20" s="13" t="s">
        <v>50</v>
      </c>
      <c r="D20" s="22"/>
      <c r="E20" s="22"/>
      <c r="F20" s="22"/>
      <c r="G20" s="22"/>
      <c r="H20" s="12" t="s">
        <v>19</v>
      </c>
      <c r="I20" s="23"/>
      <c r="J20" s="12"/>
      <c r="K20" s="12"/>
      <c r="L20" s="12"/>
      <c r="M20" s="18" t="s">
        <v>51</v>
      </c>
      <c r="N20" s="18" t="s">
        <v>19</v>
      </c>
      <c r="O20" s="18">
        <f>COUNTIFS(J63:J84,"ok")</f>
      </c>
      <c r="P20" s="24"/>
    </row>
    <row r="21" ht="30" customHeight="1" spans="1:16" x14ac:dyDescent="0.25">
      <c r="A21" s="11" t="s">
        <v>52</v>
      </c>
      <c r="B21" s="25" t="s">
        <v>53</v>
      </c>
      <c r="C21" s="12"/>
      <c r="D21" s="12"/>
      <c r="E21" s="12"/>
      <c r="F21" s="12"/>
      <c r="G21" s="12"/>
      <c r="H21" s="17" t="s">
        <v>19</v>
      </c>
      <c r="I21" s="23"/>
      <c r="J21" s="12"/>
      <c r="K21" s="12"/>
      <c r="L21" s="12"/>
      <c r="M21" s="18"/>
      <c r="N21" s="18" t="s">
        <v>46</v>
      </c>
      <c r="O21" s="18">
        <f>COUNTIFS(J63:J84,"NG")</f>
      </c>
      <c r="P21" s="24"/>
    </row>
    <row r="22" ht="30" customHeight="1" spans="1:16" x14ac:dyDescent="0.25">
      <c r="A22" s="4" t="s">
        <v>54</v>
      </c>
      <c r="B22" s="15"/>
      <c r="C22" s="26"/>
      <c r="D22" s="26"/>
      <c r="E22" s="26"/>
      <c r="F22" s="26"/>
      <c r="G22" s="26"/>
      <c r="H22" s="12" t="s">
        <v>19</v>
      </c>
      <c r="I22" s="23"/>
      <c r="J22" s="12"/>
      <c r="K22" s="12"/>
      <c r="L22" s="12"/>
      <c r="M22" s="18"/>
      <c r="N22" s="18" t="s">
        <v>35</v>
      </c>
      <c r="O22" s="18">
        <f>COUNTIFS(J63:J84,"无")</f>
      </c>
      <c r="P22" s="24"/>
    </row>
    <row r="23" ht="30" customHeight="1" spans="1:12" x14ac:dyDescent="0.25">
      <c r="A23" s="11" t="s">
        <v>55</v>
      </c>
      <c r="B23" s="21" t="s">
        <v>56</v>
      </c>
      <c r="C23" s="21"/>
      <c r="D23" s="21"/>
      <c r="E23" s="21"/>
      <c r="F23" s="21"/>
      <c r="G23" s="21"/>
      <c r="H23" s="17" t="s">
        <v>19</v>
      </c>
      <c r="I23" s="23"/>
      <c r="J23" s="12"/>
      <c r="K23" s="12"/>
      <c r="L23" s="12"/>
    </row>
    <row r="24" ht="30" customHeight="1" spans="1:12" x14ac:dyDescent="0.25">
      <c r="A24" s="4" t="s">
        <v>57</v>
      </c>
      <c r="B24" s="27"/>
      <c r="C24" s="27"/>
      <c r="D24" s="27"/>
      <c r="E24" s="27"/>
      <c r="F24" s="27"/>
      <c r="G24" s="27"/>
      <c r="H24" s="17" t="s">
        <v>19</v>
      </c>
      <c r="I24" s="23"/>
      <c r="J24" s="12"/>
      <c r="K24" s="12"/>
      <c r="L24" s="12"/>
    </row>
    <row r="25" ht="30" customHeight="1" spans="1:12" x14ac:dyDescent="0.25">
      <c r="A25" s="11" t="s">
        <v>58</v>
      </c>
      <c r="B25" s="27"/>
      <c r="C25" s="27"/>
      <c r="D25" s="27"/>
      <c r="E25" s="27"/>
      <c r="F25" s="27"/>
      <c r="G25" s="27"/>
      <c r="H25" s="12" t="s">
        <v>19</v>
      </c>
      <c r="I25" s="23"/>
      <c r="J25" s="12"/>
      <c r="K25" s="12"/>
      <c r="L25" s="12"/>
    </row>
    <row r="26" ht="30.75" customHeight="1" spans="1:12" x14ac:dyDescent="0.25">
      <c r="A26" s="4" t="s">
        <v>59</v>
      </c>
      <c r="B26" s="28"/>
      <c r="C26" s="28"/>
      <c r="D26" s="28"/>
      <c r="E26" s="28"/>
      <c r="F26" s="28"/>
      <c r="G26" s="28"/>
      <c r="H26" s="17" t="s">
        <v>19</v>
      </c>
      <c r="I26" s="23"/>
      <c r="J26" s="29" t="s">
        <v>60</v>
      </c>
      <c r="K26" s="29"/>
      <c r="L26" s="29"/>
    </row>
    <row r="27" ht="30.75" customHeight="1" spans="1:12" x14ac:dyDescent="0.25">
      <c r="A27" s="30" t="s">
        <v>61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ht="30.75" customHeight="1" spans="1:12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ht="30.75" customHeight="1" spans="1:12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ht="30.75" customHeight="1" spans="1:12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 ht="32.25" customHeight="1" spans="1:12" x14ac:dyDescent="0.25">
      <c r="A31" s="31" t="s">
        <v>62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ht="39" customHeight="1" spans="1:12" x14ac:dyDescent="0.25">
      <c r="A32" s="32" t="s">
        <v>63</v>
      </c>
      <c r="B32" s="32" t="s">
        <v>64</v>
      </c>
      <c r="C32" s="32" t="s">
        <v>65</v>
      </c>
      <c r="D32" s="33" t="s">
        <v>66</v>
      </c>
      <c r="E32" s="33"/>
      <c r="F32" s="33" t="s">
        <v>67</v>
      </c>
      <c r="G32" s="33"/>
      <c r="H32" s="33"/>
      <c r="I32" s="33"/>
      <c r="J32" s="33" t="s">
        <v>4</v>
      </c>
      <c r="K32" s="33" t="s">
        <v>15</v>
      </c>
      <c r="L32" s="33"/>
    </row>
    <row r="33" ht="108" customHeight="1" spans="1:12" x14ac:dyDescent="0.25">
      <c r="A33" s="32" t="s">
        <v>68</v>
      </c>
      <c r="B33" s="32" t="s">
        <v>69</v>
      </c>
      <c r="C33" s="34"/>
      <c r="D33" s="35"/>
      <c r="E33" s="35"/>
      <c r="F33" s="35"/>
      <c r="G33" s="35"/>
      <c r="H33" s="35"/>
      <c r="I33" s="35"/>
      <c r="J33" s="33"/>
      <c r="K33" s="33"/>
      <c r="L33" s="33"/>
    </row>
    <row r="34" ht="108" customHeight="1" spans="1:12" x14ac:dyDescent="0.25">
      <c r="A34" s="32"/>
      <c r="B34" s="32"/>
      <c r="C34" s="34"/>
      <c r="D34" s="35"/>
      <c r="E34" s="35"/>
      <c r="F34" s="35"/>
      <c r="G34" s="35"/>
      <c r="H34" s="35"/>
      <c r="I34" s="35"/>
      <c r="J34" s="33"/>
      <c r="K34" s="33"/>
      <c r="L34" s="33"/>
    </row>
    <row r="35" ht="108" customHeight="1" spans="1:12" x14ac:dyDescent="0.25">
      <c r="A35" s="32"/>
      <c r="B35" s="32" t="s">
        <v>70</v>
      </c>
      <c r="C35" s="34"/>
      <c r="D35" s="35"/>
      <c r="E35" s="35"/>
      <c r="F35" s="35"/>
      <c r="G35" s="35"/>
      <c r="H35" s="35"/>
      <c r="I35" s="35"/>
      <c r="J35" s="33"/>
      <c r="K35" s="33"/>
      <c r="L35" s="33"/>
    </row>
    <row r="36" ht="108" customHeight="1" spans="1:12" x14ac:dyDescent="0.25">
      <c r="A36" s="32"/>
      <c r="B36" s="32"/>
      <c r="C36" s="34"/>
      <c r="D36" s="35"/>
      <c r="E36" s="35"/>
      <c r="F36" s="35"/>
      <c r="G36" s="35"/>
      <c r="H36" s="35"/>
      <c r="I36" s="35"/>
      <c r="J36" s="33"/>
      <c r="K36" s="33"/>
      <c r="L36" s="33"/>
    </row>
    <row r="37" ht="108" customHeight="1" spans="1:12" x14ac:dyDescent="0.25">
      <c r="A37" s="32"/>
      <c r="B37" s="32"/>
      <c r="C37" s="34"/>
      <c r="D37" s="35"/>
      <c r="E37" s="35"/>
      <c r="F37" s="35"/>
      <c r="G37" s="35"/>
      <c r="H37" s="35"/>
      <c r="I37" s="35"/>
      <c r="J37" s="33"/>
      <c r="K37" s="33"/>
      <c r="L37" s="33"/>
    </row>
    <row r="38" ht="108" customHeight="1" spans="1:12" x14ac:dyDescent="0.25">
      <c r="A38" s="32"/>
      <c r="B38" s="32"/>
      <c r="C38" s="34"/>
      <c r="D38" s="35"/>
      <c r="E38" s="35"/>
      <c r="F38" s="35"/>
      <c r="G38" s="35"/>
      <c r="H38" s="35"/>
      <c r="I38" s="35"/>
      <c r="J38" s="33"/>
      <c r="K38" s="33"/>
      <c r="L38" s="33"/>
    </row>
    <row r="39" ht="108" customHeight="1" spans="1:12" x14ac:dyDescent="0.25">
      <c r="A39" s="32"/>
      <c r="B39" s="32" t="s">
        <v>71</v>
      </c>
      <c r="C39" s="34"/>
      <c r="D39" s="35"/>
      <c r="E39" s="35"/>
      <c r="F39" s="35"/>
      <c r="G39" s="35"/>
      <c r="H39" s="35"/>
      <c r="I39" s="35"/>
      <c r="J39" s="33"/>
      <c r="K39" s="33"/>
      <c r="L39" s="33"/>
    </row>
    <row r="40" ht="108" customHeight="1" spans="1:12" x14ac:dyDescent="0.25">
      <c r="A40" s="32"/>
      <c r="B40" s="32"/>
      <c r="C40" s="34"/>
      <c r="D40" s="35"/>
      <c r="E40" s="35"/>
      <c r="F40" s="35"/>
      <c r="G40" s="35"/>
      <c r="H40" s="35"/>
      <c r="I40" s="35"/>
      <c r="J40" s="33"/>
      <c r="K40" s="33"/>
      <c r="L40" s="33"/>
    </row>
    <row r="41" ht="108" customHeight="1" spans="1:12" x14ac:dyDescent="0.25">
      <c r="A41" s="32"/>
      <c r="B41" s="32" t="s">
        <v>72</v>
      </c>
      <c r="C41" s="34"/>
      <c r="D41" s="35"/>
      <c r="E41" s="35"/>
      <c r="F41" s="35"/>
      <c r="G41" s="35"/>
      <c r="H41" s="35"/>
      <c r="I41" s="35"/>
      <c r="J41" s="33"/>
      <c r="K41" s="36"/>
      <c r="L41" s="36"/>
    </row>
    <row r="42" ht="108" customHeight="1" spans="1:12" x14ac:dyDescent="0.25">
      <c r="A42" s="32"/>
      <c r="B42" s="32"/>
      <c r="C42" s="34"/>
      <c r="D42" s="35"/>
      <c r="E42" s="35"/>
      <c r="F42" s="35"/>
      <c r="G42" s="35"/>
      <c r="H42" s="35"/>
      <c r="I42" s="35"/>
      <c r="J42" s="33"/>
      <c r="K42" s="36"/>
      <c r="L42" s="36"/>
    </row>
    <row r="43" ht="108" customHeight="1" spans="1:18" x14ac:dyDescent="0.25">
      <c r="A43" s="32"/>
      <c r="B43" s="32" t="s">
        <v>73</v>
      </c>
      <c r="C43" s="34"/>
      <c r="D43" s="35"/>
      <c r="E43" s="35"/>
      <c r="F43" s="35"/>
      <c r="G43" s="35"/>
      <c r="H43" s="35"/>
      <c r="I43" s="35"/>
      <c r="J43" s="33"/>
      <c r="K43" s="37"/>
      <c r="L43" s="37"/>
      <c r="M43" s="35"/>
      <c r="N43" s="35"/>
      <c r="O43" s="35"/>
      <c r="P43" s="35"/>
      <c r="Q43" s="35"/>
      <c r="R43" s="35"/>
    </row>
    <row r="44" ht="108" customHeight="1" spans="1:18" x14ac:dyDescent="0.25">
      <c r="A44" s="32"/>
      <c r="B44" s="32"/>
      <c r="C44" s="34"/>
      <c r="D44" s="35"/>
      <c r="E44" s="35"/>
      <c r="F44" s="35"/>
      <c r="G44" s="35"/>
      <c r="H44" s="35"/>
      <c r="I44" s="35"/>
      <c r="J44" s="33"/>
      <c r="K44" s="37"/>
      <c r="L44" s="37"/>
      <c r="M44" s="35"/>
      <c r="N44" s="35"/>
      <c r="O44" s="35"/>
      <c r="P44" s="35"/>
      <c r="Q44" s="35"/>
      <c r="R44" s="35"/>
    </row>
    <row r="45" ht="108" customHeight="1" spans="1:12" x14ac:dyDescent="0.25">
      <c r="A45" s="32" t="s">
        <v>74</v>
      </c>
      <c r="B45" s="32" t="s">
        <v>75</v>
      </c>
      <c r="C45" s="34"/>
      <c r="D45" s="35"/>
      <c r="E45" s="35"/>
      <c r="F45" s="35"/>
      <c r="G45" s="35"/>
      <c r="H45" s="35"/>
      <c r="I45" s="35"/>
      <c r="J45" s="33"/>
      <c r="K45" s="37"/>
      <c r="L45" s="37"/>
    </row>
    <row r="46" ht="108" customHeight="1" spans="1:12" x14ac:dyDescent="0.25">
      <c r="A46" s="32"/>
      <c r="B46" s="32"/>
      <c r="C46" s="34"/>
      <c r="D46" s="35"/>
      <c r="E46" s="35"/>
      <c r="F46" s="35"/>
      <c r="G46" s="35"/>
      <c r="H46" s="35"/>
      <c r="I46" s="35"/>
      <c r="J46" s="33"/>
      <c r="K46" s="37"/>
      <c r="L46" s="37"/>
    </row>
    <row r="47" ht="108" customHeight="1" spans="1:12" x14ac:dyDescent="0.25">
      <c r="A47" s="32" t="s">
        <v>76</v>
      </c>
      <c r="B47" s="32" t="s">
        <v>77</v>
      </c>
      <c r="C47" s="34"/>
      <c r="D47" s="35"/>
      <c r="E47" s="35"/>
      <c r="F47" s="35"/>
      <c r="G47" s="35"/>
      <c r="H47" s="35"/>
      <c r="I47" s="35"/>
      <c r="J47" s="33"/>
      <c r="K47" s="37"/>
      <c r="L47" s="37"/>
    </row>
    <row r="48" ht="108" customHeight="1" spans="1:12" x14ac:dyDescent="0.25">
      <c r="A48" s="32"/>
      <c r="B48" s="32"/>
      <c r="C48" s="34"/>
      <c r="D48" s="35"/>
      <c r="E48" s="35"/>
      <c r="F48" s="35"/>
      <c r="G48" s="35"/>
      <c r="H48" s="35"/>
      <c r="I48" s="35"/>
      <c r="J48" s="33"/>
      <c r="K48" s="37"/>
      <c r="L48" s="37"/>
    </row>
    <row r="49" ht="108" customHeight="1" spans="1:12" x14ac:dyDescent="0.25">
      <c r="A49" s="32" t="s">
        <v>78</v>
      </c>
      <c r="B49" s="32" t="s">
        <v>79</v>
      </c>
      <c r="C49" s="34"/>
      <c r="D49" s="35"/>
      <c r="E49" s="35"/>
      <c r="F49" s="35"/>
      <c r="G49" s="35"/>
      <c r="H49" s="35"/>
      <c r="I49" s="35"/>
      <c r="J49" s="33"/>
      <c r="K49" s="36"/>
      <c r="L49" s="36"/>
    </row>
    <row r="50" ht="108" customHeight="1" spans="1:12" x14ac:dyDescent="0.25">
      <c r="A50" s="32"/>
      <c r="B50" s="32"/>
      <c r="C50" s="34"/>
      <c r="D50" s="35"/>
      <c r="E50" s="35"/>
      <c r="F50" s="35"/>
      <c r="G50" s="35"/>
      <c r="H50" s="35"/>
      <c r="I50" s="35"/>
      <c r="J50" s="33"/>
      <c r="K50" s="36"/>
      <c r="L50" s="36"/>
    </row>
    <row r="51" ht="108" customHeight="1" spans="1:12" x14ac:dyDescent="0.25">
      <c r="A51" s="32"/>
      <c r="B51" s="33" t="s">
        <v>80</v>
      </c>
      <c r="C51" s="34"/>
      <c r="D51" s="35"/>
      <c r="E51" s="35"/>
      <c r="F51" s="35"/>
      <c r="G51" s="35"/>
      <c r="H51" s="35"/>
      <c r="I51" s="35"/>
      <c r="J51" s="33"/>
      <c r="K51" s="36"/>
      <c r="L51" s="36"/>
    </row>
    <row r="52" ht="108" customHeight="1" spans="1:12" x14ac:dyDescent="0.25">
      <c r="A52" s="32"/>
      <c r="B52" s="33"/>
      <c r="C52" s="34"/>
      <c r="D52" s="35"/>
      <c r="E52" s="35"/>
      <c r="F52" s="35"/>
      <c r="G52" s="35"/>
      <c r="H52" s="35"/>
      <c r="I52" s="35"/>
      <c r="J52" s="33"/>
      <c r="K52" s="36"/>
      <c r="L52" s="36"/>
    </row>
    <row r="53" ht="108" customHeight="1" spans="1:12" x14ac:dyDescent="0.25">
      <c r="A53" s="32" t="s">
        <v>81</v>
      </c>
      <c r="B53" s="33" t="s">
        <v>82</v>
      </c>
      <c r="C53" s="34"/>
      <c r="D53" s="35"/>
      <c r="E53" s="35"/>
      <c r="F53" s="35"/>
      <c r="G53" s="35"/>
      <c r="H53" s="35"/>
      <c r="I53" s="35"/>
      <c r="J53" s="33"/>
      <c r="K53" s="36"/>
      <c r="L53" s="36"/>
    </row>
    <row r="54" ht="108" customHeight="1" spans="1:12" x14ac:dyDescent="0.25">
      <c r="A54" s="32"/>
      <c r="B54" s="33"/>
      <c r="C54" s="34"/>
      <c r="D54" s="35"/>
      <c r="E54" s="35"/>
      <c r="F54" s="35"/>
      <c r="G54" s="35"/>
      <c r="H54" s="35"/>
      <c r="I54" s="35"/>
      <c r="J54" s="33"/>
      <c r="K54" s="36"/>
      <c r="L54" s="36"/>
    </row>
    <row r="55" ht="108" customHeight="1" spans="1:12" x14ac:dyDescent="0.25">
      <c r="A55" s="32" t="s">
        <v>83</v>
      </c>
      <c r="B55" s="33" t="s">
        <v>84</v>
      </c>
      <c r="C55" s="34"/>
      <c r="D55" s="35"/>
      <c r="E55" s="35"/>
      <c r="F55" s="35"/>
      <c r="G55" s="35"/>
      <c r="H55" s="35"/>
      <c r="I55" s="35"/>
      <c r="J55" s="33"/>
      <c r="K55" s="36"/>
      <c r="L55" s="36"/>
    </row>
    <row r="56" ht="108" customHeight="1" spans="1:12" x14ac:dyDescent="0.25">
      <c r="A56" s="32"/>
      <c r="B56" s="33"/>
      <c r="C56" s="34"/>
      <c r="D56" s="35"/>
      <c r="E56" s="35"/>
      <c r="F56" s="35"/>
      <c r="G56" s="35"/>
      <c r="H56" s="35"/>
      <c r="I56" s="35"/>
      <c r="J56" s="33"/>
      <c r="K56" s="36"/>
      <c r="L56" s="36"/>
    </row>
    <row r="57" spans="1:12" x14ac:dyDescent="0.25">
      <c r="A57" s="30" t="s">
        <v>85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spans="1:12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 spans="1:12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 spans="1:12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</row>
    <row r="61" ht="32.25" customHeight="1" spans="1:12" x14ac:dyDescent="0.25">
      <c r="A61" s="31" t="s">
        <v>62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ht="39" customHeight="1" spans="1:12" x14ac:dyDescent="0.25">
      <c r="A62" s="32" t="s">
        <v>63</v>
      </c>
      <c r="B62" s="32" t="s">
        <v>64</v>
      </c>
      <c r="C62" s="32" t="s">
        <v>65</v>
      </c>
      <c r="D62" s="33" t="s">
        <v>66</v>
      </c>
      <c r="E62" s="33"/>
      <c r="F62" s="33" t="s">
        <v>67</v>
      </c>
      <c r="G62" s="33"/>
      <c r="H62" s="33"/>
      <c r="I62" s="33"/>
      <c r="J62" s="33" t="s">
        <v>4</v>
      </c>
      <c r="K62" s="33" t="s">
        <v>15</v>
      </c>
      <c r="L62" s="33"/>
    </row>
    <row r="63" ht="108" customHeight="1" spans="1:12" x14ac:dyDescent="0.25">
      <c r="A63" s="32" t="s">
        <v>68</v>
      </c>
      <c r="B63" s="32" t="s">
        <v>69</v>
      </c>
      <c r="C63" s="34"/>
      <c r="D63" s="35"/>
      <c r="E63" s="35"/>
      <c r="F63" s="35"/>
      <c r="G63" s="35"/>
      <c r="H63" s="35"/>
      <c r="I63" s="35"/>
      <c r="J63" s="33"/>
      <c r="K63" s="33"/>
      <c r="L63" s="33"/>
    </row>
    <row r="64" ht="108" customHeight="1" spans="1:12" x14ac:dyDescent="0.25">
      <c r="A64" s="32"/>
      <c r="B64" s="32"/>
      <c r="C64" s="34"/>
      <c r="D64" s="35"/>
      <c r="E64" s="35"/>
      <c r="F64" s="35"/>
      <c r="G64" s="35"/>
      <c r="H64" s="35"/>
      <c r="I64" s="35"/>
      <c r="J64" s="33"/>
      <c r="K64" s="33"/>
      <c r="L64" s="33"/>
    </row>
    <row r="65" ht="108" customHeight="1" spans="1:12" x14ac:dyDescent="0.25">
      <c r="A65" s="32"/>
      <c r="B65" s="32" t="s">
        <v>70</v>
      </c>
      <c r="C65" s="34"/>
      <c r="D65" s="35"/>
      <c r="E65" s="35"/>
      <c r="F65" s="35"/>
      <c r="G65" s="35"/>
      <c r="H65" s="35"/>
      <c r="I65" s="35"/>
      <c r="J65" s="33"/>
      <c r="K65" s="33"/>
      <c r="L65" s="33"/>
    </row>
    <row r="66" ht="108" customHeight="1" spans="1:12" x14ac:dyDescent="0.25">
      <c r="A66" s="32"/>
      <c r="B66" s="32"/>
      <c r="C66" s="34"/>
      <c r="D66" s="35"/>
      <c r="E66" s="35"/>
      <c r="F66" s="35"/>
      <c r="G66" s="35"/>
      <c r="H66" s="35"/>
      <c r="I66" s="35"/>
      <c r="J66" s="33"/>
      <c r="K66" s="33"/>
      <c r="L66" s="33"/>
    </row>
    <row r="67" ht="108" customHeight="1" spans="1:12" x14ac:dyDescent="0.25">
      <c r="A67" s="32"/>
      <c r="B67" s="32"/>
      <c r="C67" s="34"/>
      <c r="D67" s="35"/>
      <c r="E67" s="35"/>
      <c r="F67" s="35"/>
      <c r="G67" s="35"/>
      <c r="H67" s="35"/>
      <c r="I67" s="35"/>
      <c r="J67" s="33"/>
      <c r="K67" s="33"/>
      <c r="L67" s="33"/>
    </row>
    <row r="68" ht="108" customHeight="1" spans="1:12" x14ac:dyDescent="0.25">
      <c r="A68" s="32"/>
      <c r="B68" s="32"/>
      <c r="C68" s="34"/>
      <c r="D68" s="35"/>
      <c r="E68" s="35"/>
      <c r="F68" s="35"/>
      <c r="G68" s="35"/>
      <c r="H68" s="35"/>
      <c r="I68" s="35"/>
      <c r="J68" s="33"/>
      <c r="K68" s="33"/>
      <c r="L68" s="33"/>
    </row>
    <row r="69" ht="108" customHeight="1" spans="1:12" x14ac:dyDescent="0.25">
      <c r="A69" s="32"/>
      <c r="B69" s="32" t="s">
        <v>71</v>
      </c>
      <c r="C69" s="34"/>
      <c r="D69" s="35"/>
      <c r="E69" s="35"/>
      <c r="F69" s="35"/>
      <c r="G69" s="35"/>
      <c r="H69" s="35"/>
      <c r="I69" s="35"/>
      <c r="J69" s="33"/>
      <c r="K69" s="33"/>
      <c r="L69" s="33"/>
    </row>
    <row r="70" ht="108" customHeight="1" spans="1:12" x14ac:dyDescent="0.25">
      <c r="A70" s="32"/>
      <c r="B70" s="32"/>
      <c r="C70" s="34"/>
      <c r="D70" s="35"/>
      <c r="E70" s="35"/>
      <c r="F70" s="35"/>
      <c r="G70" s="35"/>
      <c r="H70" s="35"/>
      <c r="I70" s="35"/>
      <c r="J70" s="33"/>
      <c r="K70" s="33"/>
      <c r="L70" s="33"/>
    </row>
    <row r="71" ht="108" customHeight="1" spans="1:12" x14ac:dyDescent="0.25">
      <c r="A71" s="32"/>
      <c r="B71" s="32" t="s">
        <v>72</v>
      </c>
      <c r="C71" s="34"/>
      <c r="D71" s="35"/>
      <c r="E71" s="35"/>
      <c r="F71" s="35"/>
      <c r="G71" s="35"/>
      <c r="H71" s="35"/>
      <c r="I71" s="35"/>
      <c r="J71" s="33"/>
      <c r="K71" s="36"/>
      <c r="L71" s="36"/>
    </row>
    <row r="72" ht="108" customHeight="1" spans="1:12" x14ac:dyDescent="0.25">
      <c r="A72" s="32"/>
      <c r="B72" s="32"/>
      <c r="C72" s="34"/>
      <c r="D72" s="35"/>
      <c r="E72" s="35"/>
      <c r="F72" s="35"/>
      <c r="G72" s="35"/>
      <c r="H72" s="35"/>
      <c r="I72" s="35"/>
      <c r="J72" s="33"/>
      <c r="K72" s="36"/>
      <c r="L72" s="36"/>
    </row>
    <row r="73" ht="108" customHeight="1" spans="1:12" x14ac:dyDescent="0.25">
      <c r="A73" s="32"/>
      <c r="B73" s="32" t="s">
        <v>73</v>
      </c>
      <c r="C73" s="34"/>
      <c r="D73" s="35"/>
      <c r="E73" s="35"/>
      <c r="F73" s="35"/>
      <c r="G73" s="35"/>
      <c r="H73" s="35"/>
      <c r="I73" s="35"/>
      <c r="J73" s="33"/>
      <c r="K73" s="37"/>
      <c r="L73" s="37"/>
    </row>
    <row r="74" ht="108" customHeight="1" spans="1:12" x14ac:dyDescent="0.25">
      <c r="A74" s="32"/>
      <c r="B74" s="32"/>
      <c r="C74" s="34"/>
      <c r="D74" s="35"/>
      <c r="E74" s="35"/>
      <c r="F74" s="35"/>
      <c r="G74" s="35"/>
      <c r="H74" s="35"/>
      <c r="I74" s="35"/>
      <c r="J74" s="33"/>
      <c r="K74" s="37"/>
      <c r="L74" s="37"/>
    </row>
    <row r="75" ht="108" customHeight="1" spans="1:12" x14ac:dyDescent="0.25">
      <c r="A75" s="32" t="s">
        <v>74</v>
      </c>
      <c r="B75" s="32" t="s">
        <v>75</v>
      </c>
      <c r="C75" s="34"/>
      <c r="D75" s="35"/>
      <c r="E75" s="35"/>
      <c r="F75" s="35"/>
      <c r="G75" s="35"/>
      <c r="H75" s="35"/>
      <c r="I75" s="35"/>
      <c r="J75" s="33"/>
      <c r="K75" s="37"/>
      <c r="L75" s="37"/>
    </row>
    <row r="76" ht="108" customHeight="1" spans="1:12" x14ac:dyDescent="0.25">
      <c r="A76" s="32"/>
      <c r="B76" s="32"/>
      <c r="C76" s="34"/>
      <c r="D76" s="35"/>
      <c r="E76" s="35"/>
      <c r="F76" s="35"/>
      <c r="G76" s="35"/>
      <c r="H76" s="35"/>
      <c r="I76" s="35"/>
      <c r="J76" s="33"/>
      <c r="K76" s="37"/>
      <c r="L76" s="37"/>
    </row>
    <row r="77" ht="108" customHeight="1" spans="1:12" x14ac:dyDescent="0.25">
      <c r="A77" s="32" t="s">
        <v>76</v>
      </c>
      <c r="B77" s="32" t="s">
        <v>77</v>
      </c>
      <c r="C77" s="34"/>
      <c r="D77" s="35"/>
      <c r="E77" s="35"/>
      <c r="F77" s="35"/>
      <c r="G77" s="35"/>
      <c r="H77" s="35"/>
      <c r="I77" s="35"/>
      <c r="J77" s="33"/>
      <c r="K77" s="37"/>
      <c r="L77" s="37"/>
    </row>
    <row r="78" ht="108" customHeight="1" spans="1:12" x14ac:dyDescent="0.25">
      <c r="A78" s="32"/>
      <c r="B78" s="32"/>
      <c r="C78" s="34"/>
      <c r="D78" s="35"/>
      <c r="E78" s="35"/>
      <c r="F78" s="35"/>
      <c r="G78" s="35"/>
      <c r="H78" s="35"/>
      <c r="I78" s="35"/>
      <c r="J78" s="33"/>
      <c r="K78" s="37"/>
      <c r="L78" s="37"/>
    </row>
    <row r="79" ht="108" customHeight="1" spans="1:12" x14ac:dyDescent="0.25">
      <c r="A79" s="32" t="s">
        <v>78</v>
      </c>
      <c r="B79" s="32" t="s">
        <v>79</v>
      </c>
      <c r="C79" s="34"/>
      <c r="D79" s="35"/>
      <c r="E79" s="35"/>
      <c r="F79" s="35"/>
      <c r="G79" s="35"/>
      <c r="H79" s="35"/>
      <c r="I79" s="35"/>
      <c r="J79" s="33"/>
      <c r="K79" s="36"/>
      <c r="L79" s="36"/>
    </row>
    <row r="80" ht="108" customHeight="1" spans="1:12" x14ac:dyDescent="0.25">
      <c r="A80" s="32"/>
      <c r="B80" s="32"/>
      <c r="C80" s="34"/>
      <c r="D80" s="35"/>
      <c r="E80" s="35"/>
      <c r="F80" s="35"/>
      <c r="G80" s="35"/>
      <c r="H80" s="35"/>
      <c r="I80" s="35"/>
      <c r="J80" s="33"/>
      <c r="K80" s="36"/>
      <c r="L80" s="36"/>
    </row>
    <row r="81" ht="108" customHeight="1" spans="1:12" x14ac:dyDescent="0.25">
      <c r="A81" s="32"/>
      <c r="B81" s="33" t="s">
        <v>80</v>
      </c>
      <c r="C81" s="34"/>
      <c r="D81" s="35"/>
      <c r="E81" s="35"/>
      <c r="F81" s="35"/>
      <c r="G81" s="35"/>
      <c r="H81" s="35"/>
      <c r="I81" s="35"/>
      <c r="J81" s="33"/>
      <c r="K81" s="36"/>
      <c r="L81" s="36"/>
    </row>
    <row r="82" ht="108" customHeight="1" spans="1:12" x14ac:dyDescent="0.25">
      <c r="A82" s="32"/>
      <c r="B82" s="33"/>
      <c r="C82" s="34"/>
      <c r="D82" s="35"/>
      <c r="E82" s="35"/>
      <c r="F82" s="35"/>
      <c r="G82" s="35"/>
      <c r="H82" s="35"/>
      <c r="I82" s="35"/>
      <c r="J82" s="33"/>
      <c r="K82" s="36"/>
      <c r="L82" s="36"/>
    </row>
    <row r="83" ht="108" customHeight="1" spans="1:12" x14ac:dyDescent="0.25">
      <c r="A83" s="32" t="s">
        <v>81</v>
      </c>
      <c r="B83" s="33" t="s">
        <v>82</v>
      </c>
      <c r="C83" s="34"/>
      <c r="D83" s="35"/>
      <c r="E83" s="35"/>
      <c r="F83" s="35"/>
      <c r="G83" s="35"/>
      <c r="H83" s="35"/>
      <c r="I83" s="35"/>
      <c r="J83" s="33"/>
      <c r="K83" s="36"/>
      <c r="L83" s="36"/>
    </row>
    <row r="84" ht="108" customHeight="1" spans="1:12" x14ac:dyDescent="0.25">
      <c r="A84" s="32"/>
      <c r="B84" s="33"/>
      <c r="C84" s="34"/>
      <c r="D84" s="35"/>
      <c r="E84" s="35"/>
      <c r="F84" s="35"/>
      <c r="G84" s="35"/>
      <c r="H84" s="35"/>
      <c r="I84" s="35"/>
      <c r="J84" s="33"/>
      <c r="K84" s="36"/>
      <c r="L84" s="36"/>
    </row>
    <row r="85" ht="108" customHeight="1" spans="1:12" x14ac:dyDescent="0.25">
      <c r="A85" s="32" t="s">
        <v>83</v>
      </c>
      <c r="B85" s="33" t="s">
        <v>84</v>
      </c>
      <c r="C85" s="34"/>
      <c r="D85" s="35"/>
      <c r="E85" s="35"/>
      <c r="F85" s="35"/>
      <c r="G85" s="35"/>
      <c r="H85" s="35"/>
      <c r="I85" s="35"/>
      <c r="J85" s="33"/>
      <c r="K85" s="36"/>
      <c r="L85" s="36"/>
    </row>
    <row r="86" ht="108" customHeight="1" spans="1:12" x14ac:dyDescent="0.25">
      <c r="A86" s="32"/>
      <c r="B86" s="33"/>
      <c r="C86" s="34"/>
      <c r="D86" s="35"/>
      <c r="E86" s="35"/>
      <c r="F86" s="35"/>
      <c r="G86" s="35"/>
      <c r="H86" s="35"/>
      <c r="I86" s="35"/>
      <c r="J86" s="33"/>
      <c r="K86" s="36"/>
      <c r="L86" s="36"/>
    </row>
  </sheetData>
  <mergeCells count="240">
    <mergeCell ref="A1:B3"/>
    <mergeCell ref="C1:G2"/>
    <mergeCell ref="H1:I1"/>
    <mergeCell ref="J1:K1"/>
    <mergeCell ref="H2:I2"/>
    <mergeCell ref="J2:K2"/>
    <mergeCell ref="N2:P5"/>
    <mergeCell ref="C3:G3"/>
    <mergeCell ref="H3:I3"/>
    <mergeCell ref="J3:K3"/>
    <mergeCell ref="M2:M5"/>
    <mergeCell ref="A4:B4"/>
    <mergeCell ref="C4:D4"/>
    <mergeCell ref="E4:F4"/>
    <mergeCell ref="H4:I4"/>
    <mergeCell ref="J4:K4"/>
    <mergeCell ref="A5:B5"/>
    <mergeCell ref="C5:D5"/>
    <mergeCell ref="E5:L5"/>
    <mergeCell ref="B6:G7"/>
    <mergeCell ref="J6:L7"/>
    <mergeCell ref="A6:A7"/>
    <mergeCell ref="H6:H7"/>
    <mergeCell ref="I6:I7"/>
    <mergeCell ref="B8:G8"/>
    <mergeCell ref="J8:L8"/>
    <mergeCell ref="M8:P8"/>
    <mergeCell ref="B9:G9"/>
    <mergeCell ref="J9:L9"/>
    <mergeCell ref="D10:G10"/>
    <mergeCell ref="J10:L10"/>
    <mergeCell ref="A10:A14"/>
    <mergeCell ref="B10:B14"/>
    <mergeCell ref="D11:G11"/>
    <mergeCell ref="J11:L11"/>
    <mergeCell ref="M10:M12"/>
    <mergeCell ref="R10:R18"/>
    <mergeCell ref="D12:G12"/>
    <mergeCell ref="J12:L12"/>
    <mergeCell ref="D13:G13"/>
    <mergeCell ref="J13:L13"/>
    <mergeCell ref="D14:G14"/>
    <mergeCell ref="J14:L14"/>
    <mergeCell ref="M13:M15"/>
    <mergeCell ref="D15:G15"/>
    <mergeCell ref="J15:L15"/>
    <mergeCell ref="A15:A17"/>
    <mergeCell ref="B15:B17"/>
    <mergeCell ref="D16:G16"/>
    <mergeCell ref="J16:L16"/>
    <mergeCell ref="M16:P16"/>
    <mergeCell ref="D17:G17"/>
    <mergeCell ref="J17:L17"/>
    <mergeCell ref="C18:G18"/>
    <mergeCell ref="J18:L18"/>
    <mergeCell ref="M17:M19"/>
    <mergeCell ref="D19:G19"/>
    <mergeCell ref="J19:L19"/>
    <mergeCell ref="A19:A20"/>
    <mergeCell ref="B19:B20"/>
    <mergeCell ref="D20:G20"/>
    <mergeCell ref="J20:L20"/>
    <mergeCell ref="C21:G21"/>
    <mergeCell ref="J21:L21"/>
    <mergeCell ref="M20:M22"/>
    <mergeCell ref="C22:G22"/>
    <mergeCell ref="J22:L22"/>
    <mergeCell ref="B23:G23"/>
    <mergeCell ref="J23:L23"/>
    <mergeCell ref="B24:G24"/>
    <mergeCell ref="J24:L24"/>
    <mergeCell ref="B25:G25"/>
    <mergeCell ref="J25:L25"/>
    <mergeCell ref="B26:G26"/>
    <mergeCell ref="J26:L26"/>
    <mergeCell ref="A27:L30"/>
    <mergeCell ref="A31:L31"/>
    <mergeCell ref="D32:E32"/>
    <mergeCell ref="F32:I32"/>
    <mergeCell ref="K32:L32"/>
    <mergeCell ref="D33:E34"/>
    <mergeCell ref="F33:I34"/>
    <mergeCell ref="K33:L34"/>
    <mergeCell ref="A33:A44"/>
    <mergeCell ref="B33:B34"/>
    <mergeCell ref="C33:C34"/>
    <mergeCell ref="J33:J34"/>
    <mergeCell ref="D35:E36"/>
    <mergeCell ref="F35:I36"/>
    <mergeCell ref="K35:L36"/>
    <mergeCell ref="B35:B38"/>
    <mergeCell ref="C35:C36"/>
    <mergeCell ref="J35:J36"/>
    <mergeCell ref="D37:E38"/>
    <mergeCell ref="F37:I38"/>
    <mergeCell ref="K37:L38"/>
    <mergeCell ref="C37:C38"/>
    <mergeCell ref="J37:J38"/>
    <mergeCell ref="D39:E40"/>
    <mergeCell ref="F39:I40"/>
    <mergeCell ref="K39:L40"/>
    <mergeCell ref="B39:B40"/>
    <mergeCell ref="C39:C40"/>
    <mergeCell ref="J39:J40"/>
    <mergeCell ref="D41:E42"/>
    <mergeCell ref="F41:I42"/>
    <mergeCell ref="K41:L42"/>
    <mergeCell ref="B41:B42"/>
    <mergeCell ref="C41:C42"/>
    <mergeCell ref="J41:J42"/>
    <mergeCell ref="D43:E44"/>
    <mergeCell ref="F43:I44"/>
    <mergeCell ref="K43:L44"/>
    <mergeCell ref="M43:R44"/>
    <mergeCell ref="B43:B44"/>
    <mergeCell ref="C43:C44"/>
    <mergeCell ref="J43:J44"/>
    <mergeCell ref="D45:E46"/>
    <mergeCell ref="F45:I46"/>
    <mergeCell ref="K45:L46"/>
    <mergeCell ref="A45:A46"/>
    <mergeCell ref="B45:B46"/>
    <mergeCell ref="C45:C46"/>
    <mergeCell ref="J45:J46"/>
    <mergeCell ref="D47:E48"/>
    <mergeCell ref="F47:I48"/>
    <mergeCell ref="K47:L48"/>
    <mergeCell ref="A47:A48"/>
    <mergeCell ref="B47:B48"/>
    <mergeCell ref="C47:C48"/>
    <mergeCell ref="J47:J48"/>
    <mergeCell ref="D49:E50"/>
    <mergeCell ref="F49:I50"/>
    <mergeCell ref="K49:L50"/>
    <mergeCell ref="A49:A52"/>
    <mergeCell ref="B49:B50"/>
    <mergeCell ref="C49:C50"/>
    <mergeCell ref="J49:J50"/>
    <mergeCell ref="D51:E52"/>
    <mergeCell ref="F51:I52"/>
    <mergeCell ref="K51:L52"/>
    <mergeCell ref="B51:B52"/>
    <mergeCell ref="C51:C52"/>
    <mergeCell ref="J51:J52"/>
    <mergeCell ref="D53:E54"/>
    <mergeCell ref="F53:I54"/>
    <mergeCell ref="K53:L54"/>
    <mergeCell ref="A53:A54"/>
    <mergeCell ref="B53:B54"/>
    <mergeCell ref="C53:C54"/>
    <mergeCell ref="J53:J54"/>
    <mergeCell ref="D55:E56"/>
    <mergeCell ref="F55:I56"/>
    <mergeCell ref="K55:L56"/>
    <mergeCell ref="A55:A56"/>
    <mergeCell ref="B55:B56"/>
    <mergeCell ref="C55:C56"/>
    <mergeCell ref="J55:J56"/>
    <mergeCell ref="A57:L60"/>
    <mergeCell ref="A61:L61"/>
    <mergeCell ref="D62:E62"/>
    <mergeCell ref="F62:I62"/>
    <mergeCell ref="K62:L62"/>
    <mergeCell ref="D63:E64"/>
    <mergeCell ref="F63:I64"/>
    <mergeCell ref="K63:L64"/>
    <mergeCell ref="A63:A74"/>
    <mergeCell ref="B63:B64"/>
    <mergeCell ref="C63:C64"/>
    <mergeCell ref="J63:J64"/>
    <mergeCell ref="D65:E66"/>
    <mergeCell ref="F65:I66"/>
    <mergeCell ref="K65:L66"/>
    <mergeCell ref="B65:B68"/>
    <mergeCell ref="C65:C66"/>
    <mergeCell ref="J65:J66"/>
    <mergeCell ref="D67:E68"/>
    <mergeCell ref="F67:I68"/>
    <mergeCell ref="K67:L68"/>
    <mergeCell ref="C67:C68"/>
    <mergeCell ref="J67:J68"/>
    <mergeCell ref="D69:E70"/>
    <mergeCell ref="F69:I70"/>
    <mergeCell ref="K69:L70"/>
    <mergeCell ref="B69:B70"/>
    <mergeCell ref="C69:C70"/>
    <mergeCell ref="J69:J70"/>
    <mergeCell ref="D71:E72"/>
    <mergeCell ref="F71:I72"/>
    <mergeCell ref="K71:L72"/>
    <mergeCell ref="B71:B72"/>
    <mergeCell ref="C71:C72"/>
    <mergeCell ref="J71:J72"/>
    <mergeCell ref="D73:E74"/>
    <mergeCell ref="F73:I74"/>
    <mergeCell ref="K73:L74"/>
    <mergeCell ref="B73:B74"/>
    <mergeCell ref="C73:C74"/>
    <mergeCell ref="J73:J74"/>
    <mergeCell ref="D75:E76"/>
    <mergeCell ref="F75:I76"/>
    <mergeCell ref="K75:L76"/>
    <mergeCell ref="A75:A76"/>
    <mergeCell ref="B75:B76"/>
    <mergeCell ref="C75:C76"/>
    <mergeCell ref="J75:J76"/>
    <mergeCell ref="D77:E78"/>
    <mergeCell ref="F77:I78"/>
    <mergeCell ref="K77:L78"/>
    <mergeCell ref="A77:A78"/>
    <mergeCell ref="B77:B78"/>
    <mergeCell ref="C77:C78"/>
    <mergeCell ref="J77:J78"/>
    <mergeCell ref="D79:E80"/>
    <mergeCell ref="F79:I80"/>
    <mergeCell ref="K79:L80"/>
    <mergeCell ref="A79:A82"/>
    <mergeCell ref="B79:B80"/>
    <mergeCell ref="C79:C80"/>
    <mergeCell ref="J79:J80"/>
    <mergeCell ref="D81:E82"/>
    <mergeCell ref="F81:I82"/>
    <mergeCell ref="K81:L82"/>
    <mergeCell ref="B81:B82"/>
    <mergeCell ref="C81:C82"/>
    <mergeCell ref="J81:J82"/>
    <mergeCell ref="D83:E84"/>
    <mergeCell ref="F83:I84"/>
    <mergeCell ref="K83:L84"/>
    <mergeCell ref="A83:A84"/>
    <mergeCell ref="B83:B84"/>
    <mergeCell ref="C83:C84"/>
    <mergeCell ref="J83:J84"/>
    <mergeCell ref="D85:E86"/>
    <mergeCell ref="F85:I86"/>
    <mergeCell ref="K85:L86"/>
    <mergeCell ref="A85:A86"/>
    <mergeCell ref="B85:B86"/>
    <mergeCell ref="C85:C86"/>
    <mergeCell ref="J85:J8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机床参数检查表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2025-11-30T15:41:08Z</dcterms:created>
  <dcterms:modified xsi:type="dcterms:W3CDTF">2025-11-30T15:41:08Z</dcterms:modified>
</cp:coreProperties>
</file>