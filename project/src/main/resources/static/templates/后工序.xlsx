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工序" state="visible" r:id="rId4"/>
  </sheets>
  <calcPr calcId="171027"/>
</workbook>
</file>

<file path=xl/sharedStrings.xml><?xml version="1.0" encoding="utf-8"?>
<sst xmlns="http://schemas.openxmlformats.org/spreadsheetml/2006/main" count="292" uniqueCount="166">
  <si>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</si>
  <si>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</si>
  <si>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</si>
  <si>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</si>
  <si>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</si>
  <si>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</si>
  <si>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</si>
  <si>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</si>
  <si>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</si>
  <si>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</si>
  <si>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</si>
  <si>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OK：√    NG：×    无检查项：无</t>
  </si>
  <si>
    <t>NO.</t>
  </si>
  <si>
    <t>检 查 点（本次自检共  项，其中评审项： ，无关项：   ，风险项：  ）</t>
  </si>
  <si>
    <t>设计填写栏</t>
  </si>
  <si>
    <t>校审填写栏</t>
  </si>
  <si>
    <t>备注</t>
  </si>
  <si>
    <t>阶段</t>
  </si>
  <si>
    <t>链接到目录</t>
  </si>
  <si>
    <t>一.共性内容检查</t>
  </si>
  <si>
    <t>内审</t>
  </si>
  <si>
    <t>FMC</t>
  </si>
  <si>
    <t>正式图</t>
  </si>
  <si>
    <t>统计</t>
  </si>
  <si>
    <t>1</t>
  </si>
  <si>
    <t>核对图纸中的数模是不是最新工艺数模，工艺内容是否缺失（注意冲压方向转角度的情况，是否正确导出）：数模版本日期 （ GY07-20241019）；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</si>
  <si>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</si>
  <si>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</si>
  <si>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</si>
  <si>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</si>
  <si>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</si>
  <si>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</si>
  <si>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</si>
  <si>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</si>
  <si>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</si>
  <si>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</si>
  <si>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</si>
  <si>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</si>
  <si>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</si>
  <si>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</si>
  <si>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筋厚是否满足客户标准？（ 型面： 50  mm，主筋：  40 mm，副筋：30 mm）（2023-8-7）</t>
  </si>
  <si>
    <t>6</t>
  </si>
  <si>
    <t>筋间距是否满足客户要求？（最大筋距：400 mm）（2023-8-7）</t>
  </si>
  <si>
    <t>7</t>
  </si>
  <si>
    <t>模具所有起吊钢丝绳经过处倒R15圆角，钢丝绳翻转轨迹与行程限位块和存放氮气弹簧不干涉；（2017-07-25）</t>
  </si>
  <si>
    <t>8</t>
  </si>
  <si>
    <t>存放氮气缸压力是上模、压芯总重量的1.5倍-2.5倍（具体按照项目要求做），存放块存放比弹性低5mm；翻转管存放比弹性低20mm；（存放氮气缸型号：X9500-100 ）（2023-8-7）</t>
  </si>
  <si>
    <t>自检统计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</si>
  <si>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</si>
  <si>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</si>
  <si>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</si>
  <si>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</si>
  <si>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</si>
  <si>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</si>
  <si>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</si>
  <si>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</si>
  <si>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</si>
  <si>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</si>
  <si>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</si>
  <si>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</si>
  <si>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</si>
  <si>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</si>
  <si>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</si>
  <si>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</si>
  <si>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</si>
  <si>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</si>
  <si>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</si>
  <si>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安全平台符合客户要求:(长*度*高=150*150*150  mm)  （2023-8-7）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</si>
  <si>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</si>
  <si>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</si>
  <si>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</si>
  <si>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</si>
  <si>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</si>
  <si>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</si>
  <si>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</si>
  <si>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运输连接板安装孔采用CSN16铸入式螺栓，有客户特殊要求的按客户要求；打孔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</si>
  <si>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</si>
  <si>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</si>
  <si>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</si>
  <si>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</si>
  <si>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</si>
  <si>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</si>
  <si>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</si>
  <si>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</si>
  <si>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</si>
  <si>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</si>
  <si>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</si>
  <si>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</si>
  <si>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</si>
  <si>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</si>
  <si>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</si>
  <si>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</si>
  <si>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</si>
  <si>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</si>
  <si>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</si>
  <si>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</si>
  <si>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</si>
  <si>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</si>
  <si>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工艺内容偏单边的需要设计上、下模座的防侧（2023-8-7）</t>
  </si>
  <si>
    <t>34</t>
  </si>
  <si>
    <t>35</t>
  </si>
  <si>
    <t>36</t>
  </si>
  <si>
    <t>压料板导板及侧销面距离分模线7-10mm,优选10mm,保证取出无干涉（2024-2-19）</t>
  </si>
  <si>
    <t>37</t>
  </si>
  <si>
    <t>铸钢材质的铸件超出以下重量和尺寸无法铸造：重量最大为5T，尺寸最大为长4300，宽1900（2024-10-30）</t>
  </si>
  <si>
    <t>38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</si>
  <si>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</si>
  <si>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</si>
  <si>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制件定位方式是否稳定可靠,优先选择定位板，拉延使用平板料检查定位板定位直边高度20mm；后工序直边高度5-10mm（2023-8-7）定位板锁付螺钉需体现-20250610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</si>
  <si>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</si>
  <si>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</si>
  <si>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</si>
  <si>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</si>
  <si>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</si>
  <si>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</si>
  <si>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</si>
  <si>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</si>
  <si>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</si>
  <si>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</si>
  <si>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</si>
  <si>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</si>
  <si>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</si>
  <si>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</si>
  <si>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</si>
  <si>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</si>
  <si>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</si>
  <si>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</si>
  <si>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</si>
  <si>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/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</si>
  <si>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</si>
  <si>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</si>
  <si>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</si>
  <si>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六.修边、冲孔相关结构检查</t>
  </si>
  <si>
    <t>标准冲头冲孔扣除料厚后切入量3～5mm；凹模套型面加工后刃口是否有4mm强度，凹模套安装孔深度设计时考虑料厚方向，凹模高度高出型面0.3-0.5mm；（2017-07-25）</t>
  </si>
  <si>
    <t>检查上、下模废料刀的刃口位置是否一致，方向是否正确，废料刀优先采用锻件结构；</t>
  </si>
  <si>
    <t>修边镶块及废料刀块边界超过坯料线的部分为15mm-20mm；</t>
  </si>
  <si>
    <t>修边刀块安装面要相对刀块底面让空5mm；</t>
  </si>
  <si>
    <t>冲孔废料边缘距废料滑板边缘MIN20;</t>
  </si>
  <si>
    <t>安装冲头时的操作空间及铸孔大小是否足够；</t>
  </si>
  <si>
    <t>正侧冲选用定心冲头顶料型冲头；冲头直径≤φ8.1的用球锁式冲头，压芯开天窗（有特殊要求的参照技术协议）；</t>
  </si>
  <si>
    <t>单侧修边考虑防侧向力，具体根据修边的长度、板件材质及料厚综合考虑；</t>
  </si>
  <si>
    <t>一级废料滑出角度设计：小片废料（周圈轮廓小于φ40）≥25度；大片废料≥20度，当不能满足20度时，废料滑板采用滤油网板或者滚轮等排料装置。</t>
  </si>
  <si>
    <t>冲孔的二级逃料孔比一级逃料孔直径大4mm，模座上的废料落孔尽量直接铸造出来，铸孔直径≥φ50mm；</t>
  </si>
  <si>
    <t>所有三面以上封闭式修边必须设置弹顶销，异性冲孔有空间的也需要设置弹顶销(弹顶销规格行程不小于15)；弹顶销不要顶在斜面上（2023-8-7）</t>
  </si>
  <si>
    <t>侧修废料边缘距铸件边缘MIN50;实现不了组织评审</t>
  </si>
  <si>
    <t>板件是否为铝件，冲头是否需要涂覆处理，使用什么样式涂覆？</t>
  </si>
  <si>
    <t>压料板落位是否无干涉（部分客户标准压料板与模座垫块间隙为5mm,需考虑压料板落位5MM与冲头等其他部件无干涉）（2024-2-19）</t>
  </si>
  <si>
    <t>七.翻边整形相关结构检查</t>
  </si>
  <si>
    <t>翻边顶出器各处顶料要同步；翻边退料行程=翻边高度+压料芯行程+5-10MM；有插刀时翻边退料行程=插刀完全退出的高度+翻边高度+5-10MM；</t>
  </si>
  <si>
    <t>压芯、托芯要设计墩死垫块(外板模具的压料芯只设计墩死块位置)；</t>
  </si>
  <si>
    <t>翻边整形区域型面不允许破坏(无螺钉、销钉、减轻孔、起吊等让空)（2023-8-7）</t>
  </si>
  <si>
    <t>八.斜楔模具相关结构检查</t>
  </si>
  <si>
    <t>核对斜楔的角度与工艺是否一致，斜楔拆卸是否方便；是否为斜楔刀块与冲头装配留有足够的的的操作空间和目视条件；</t>
  </si>
  <si>
    <t>非标斜楔机构的回程氮气缸力是否足够，保证为自身及其附属件重量的1.5倍-2.5倍之间；</t>
  </si>
  <si>
    <t>斜楔滑块与驱动器接触时滑动面是否有50mm以上接触量，滑块设计不少于两处垂直起吊孔（≥M16）；</t>
  </si>
  <si>
    <t>考虑压芯行程，保证先压料后工作；侧成型复位斜楔到位之后压芯压料；</t>
  </si>
  <si>
    <t>有隐冲机构时，压料芯要有导柱导向，要开天窗，压芯与下模间是要有锥形平衡块；</t>
  </si>
  <si>
    <t>下置斜楔时，板件放入时，板件和斜楔的间隙是否设置最低30mm以上；</t>
  </si>
  <si>
    <t>侧冲的压芯让位孔考虑能否加工；如果不能，需要设置镶块；</t>
  </si>
  <si>
    <t>侧冲的窥视孔对于冲孔方向是否偏置（有助于粉碎叠压的料片），冲孔小于等于15度需要加窥视孔及废料粉碎器（如：三住CPSBR)；</t>
  </si>
  <si>
    <t>宽度≧800的非标斜楔需要设置2处V型导板;宽度≧1400需要设置2处导向盖板，1400&gt;宽度≧700之间设置一处导向盖板；</t>
  </si>
  <si>
    <t>检查非标斜楔机构的导向盖板及卸料螺钉在机构回位时是否能锁符；</t>
  </si>
  <si>
    <t>标准斜楔下模只在后面设置背托，上模在侧面和后面设置背托；</t>
  </si>
  <si>
    <t>斜楔是否防侧：除料厚小于1mm的自制斜楔修边外，其他所有有侧向力的修边、翻边必须考虑斜楔防侧；</t>
  </si>
  <si>
    <t>非标斜楔回退必须使用规格为CCS 27或CCS 36的缓冲限位块，不得自制普通的聚氨酯缓冲限位；</t>
  </si>
  <si>
    <t>斜楔压板，回退限位块，型面镶块，端头氮气弹簧法兰安装板，上模颈部氮气缸安装法兰的锁付螺钉需体现，以便检查干涉-20250610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</si>
</sst>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000000"/>
      <sz val="12"/>
      <name val="宋体"/>
    </font>
    <font>
      <color rgb="FF000000"/>
      <sz val="9"/>
      <name val="宋体"/>
    </font>
    <font>
      <color rgb="FF000000"/>
      <sz val="11"/>
      <name val="宋体"/>
    </font>
    <font>
      <color rgb="FF000000"/>
      <sz val="12"/>
      <name val="宋体"/>
    </font>
    <font>
      <sz val="12"/>
      <name val="宋体"/>
    </font>
    <font>
      <sz val="11"/>
      <name val="宋体"/>
    </font>
    <font>
      <sz val="10"/>
      <name val="宋体"/>
    </font>
    <font>
      <color rgb="FF800080"/>
      <sz val="24"/>
      <name val="宋体"/>
    </font>
    <font>
      <b/>
      <color rgb="FF000000"/>
      <sz val="11"/>
      <name val="宋体"/>
    </font>
    <font>
      <color rgb="FF000000"/>
      <sz val="10"/>
      <name val="宋体"/>
    </font>
    <font>
      <color rgb="FFFF0000"/>
      <sz val="10"/>
      <name val="宋体"/>
    </font>
    <font>
      <b/>
      <sz val="10"/>
      <name val="宋体"/>
    </font>
    <font>
      <b/>
      <sz val="11"/>
      <name val="宋体"/>
    </font>
    <font>
      <b/>
      <color rgb="FF000000"/>
      <sz val="10"/>
      <name val="宋体"/>
    </font>
    <font>
      <b/>
      <color rgb="FFFF0000"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FormatPr defaultRowHeight="15" outlineLevelRow="0" outlineLevelCol="0" x14ac:dyDescent="55"/>
  <cols>
    <col min="1" max="1" width="11.6" customWidth="1"/>
    <col min="2" max="2" width="28.4" customWidth="1"/>
    <col min="3" max="3" width="12" customWidth="1"/>
    <col min="4" max="4" width="102.8" customWidth="1"/>
    <col min="5" max="10" width="4.933333333333334" customWidth="1"/>
    <col min="11" max="11" width="10.266666666666667" customWidth="1"/>
    <col min="12" max="12" width="12" customWidth="1"/>
    <col min="13" max="15" width="4.933333333333334" customWidth="1"/>
    <col min="16" max="17" width="8.133333333333333" customWidth="1"/>
    <col min="18" max="18" width="6" customWidth="1"/>
  </cols>
  <sheetData>
    <row r="1" ht="16.5" customHeight="1" spans="1:12" x14ac:dyDescent="0.25">
      <c r="A1" s="1"/>
      <c r="B1" s="1"/>
      <c r="C1" s="1"/>
      <c r="D1" s="2" t="s">
        <v>0</v>
      </c>
      <c r="E1" s="3" t="s">
        <v>1</v>
      </c>
      <c r="F1" s="3"/>
      <c r="G1" s="4"/>
      <c r="H1" s="4"/>
      <c r="I1" s="4"/>
      <c r="J1" s="4"/>
      <c r="K1" s="4"/>
      <c r="L1" s="5" t="s">
        <v>2</v>
      </c>
    </row>
    <row r="2" ht="16.5" customHeight="1" spans="1:12" x14ac:dyDescent="0.25">
      <c r="A2" s="1"/>
      <c r="B2" s="1"/>
      <c r="C2" s="1"/>
      <c r="D2" s="2"/>
      <c r="E2" s="6" t="s">
        <v>3</v>
      </c>
      <c r="F2" s="6"/>
      <c r="G2" s="7"/>
      <c r="H2" s="7"/>
      <c r="I2" s="7"/>
      <c r="J2" s="7"/>
      <c r="K2" s="7"/>
      <c r="L2" s="8"/>
    </row>
    <row r="3" ht="16.5" customHeight="1" spans="1:12" x14ac:dyDescent="0.25">
      <c r="A3" s="1"/>
      <c r="B3" s="1"/>
      <c r="C3" s="1"/>
      <c r="D3" s="2" t="s">
        <v>4</v>
      </c>
      <c r="E3" s="6" t="s">
        <v>5</v>
      </c>
      <c r="F3" s="6"/>
      <c r="G3" s="7"/>
      <c r="H3" s="7"/>
      <c r="I3" s="7"/>
      <c r="J3" s="7"/>
      <c r="K3" s="7"/>
      <c r="L3" s="8"/>
    </row>
    <row r="4" ht="16.5" customHeight="1" spans="1:12" x14ac:dyDescent="0.25">
      <c r="A4" s="9" t="s">
        <v>6</v>
      </c>
      <c r="B4" s="9"/>
      <c r="C4" s="9" t="s">
        <v>7</v>
      </c>
      <c r="D4" s="8"/>
      <c r="E4" s="6" t="s">
        <v>8</v>
      </c>
      <c r="F4" s="6"/>
      <c r="G4" s="7"/>
      <c r="H4" s="7"/>
      <c r="I4" s="7"/>
      <c r="J4" s="7"/>
      <c r="K4" s="7"/>
      <c r="L4" s="8"/>
    </row>
    <row r="5" ht="13.5" customHeight="1" spans="1:12" x14ac:dyDescent="0.25">
      <c r="A5" s="9" t="s">
        <v>9</v>
      </c>
      <c r="B5" s="10"/>
      <c r="C5" s="9" t="s">
        <v>10</v>
      </c>
      <c r="D5" s="8"/>
      <c r="E5" s="11" t="s">
        <v>11</v>
      </c>
      <c r="F5" s="11"/>
      <c r="G5" s="11"/>
      <c r="H5" s="11"/>
      <c r="I5" s="11"/>
      <c r="J5" s="11"/>
      <c r="K5" s="11"/>
      <c r="L5" s="11"/>
    </row>
    <row r="6" ht="11.25" customHeight="1" spans="1:12" x14ac:dyDescent="0.25">
      <c r="A6" s="12" t="s">
        <v>12</v>
      </c>
      <c r="B6" s="13" t="s">
        <v>13</v>
      </c>
      <c r="C6" s="13"/>
      <c r="D6" s="13"/>
      <c r="E6" s="14" t="s">
        <v>14</v>
      </c>
      <c r="F6" s="14"/>
      <c r="G6" s="14"/>
      <c r="H6" s="14" t="s">
        <v>15</v>
      </c>
      <c r="I6" s="14"/>
      <c r="J6" s="14"/>
      <c r="K6" s="11" t="s">
        <v>16</v>
      </c>
      <c r="L6" s="11"/>
    </row>
    <row r="7" ht="11.25" customHeight="1" spans="1:18" x14ac:dyDescent="0.25">
      <c r="A7" s="12"/>
      <c r="B7" s="13"/>
      <c r="C7" s="13"/>
      <c r="D7" s="13"/>
      <c r="E7" s="15" t="s">
        <v>17</v>
      </c>
      <c r="F7" s="15"/>
      <c r="G7" s="15"/>
      <c r="H7" s="15" t="s">
        <v>17</v>
      </c>
      <c r="I7" s="15"/>
      <c r="J7" s="15"/>
      <c r="K7" s="11"/>
      <c r="L7" s="11"/>
      <c r="R7" s="16" t="s">
        <v>18</v>
      </c>
    </row>
    <row r="8" ht="14.25" customHeight="1" spans="2:18" x14ac:dyDescent="0.25">
      <c r="B8" s="17" t="s">
        <v>19</v>
      </c>
      <c r="C8" s="17"/>
      <c r="D8" s="17"/>
      <c r="E8" s="18" t="s">
        <v>20</v>
      </c>
      <c r="F8" s="18" t="s">
        <v>21</v>
      </c>
      <c r="G8" s="18" t="s">
        <v>22</v>
      </c>
      <c r="H8" s="18" t="s">
        <v>20</v>
      </c>
      <c r="I8" s="18" t="s">
        <v>21</v>
      </c>
      <c r="J8" s="18" t="s">
        <v>22</v>
      </c>
      <c r="K8" s="4"/>
      <c r="L8" s="4"/>
      <c r="M8" s="19" t="s">
        <v>23</v>
      </c>
      <c r="N8" s="19"/>
      <c r="O8" s="19"/>
      <c r="P8" s="19"/>
      <c r="R8" s="16"/>
    </row>
    <row r="9" ht="19.5" customHeight="1" spans="1:18" x14ac:dyDescent="0.25">
      <c r="A9" s="19" t="s">
        <v>24</v>
      </c>
      <c r="B9" s="20" t="s">
        <v>25</v>
      </c>
      <c r="C9" s="20"/>
      <c r="D9" s="20"/>
      <c r="K9" s="4"/>
      <c r="L9" s="4"/>
      <c r="N9" s="19" t="s">
        <v>26</v>
      </c>
      <c r="O9" s="19" t="s">
        <v>27</v>
      </c>
      <c r="P9" s="19" t="s">
        <v>28</v>
      </c>
      <c r="R9" s="16"/>
    </row>
    <row r="10" ht="19.5" customHeight="1" spans="1:18" x14ac:dyDescent="0.25">
      <c r="A10" s="19" t="s">
        <v>29</v>
      </c>
      <c r="B10" s="20" t="s">
        <v>30</v>
      </c>
      <c r="C10" s="20"/>
      <c r="D10" s="20"/>
      <c r="K10" s="4"/>
      <c r="L10" s="4"/>
      <c r="M10" s="19" t="s">
        <v>20</v>
      </c>
      <c r="N10" s="19" t="s">
        <v>31</v>
      </c>
      <c r="O10" s="19">
        <f>COUNTIF(H9:H103,"√")</f>
      </c>
      <c r="P10" s="19">
        <f>O10/Q12</f>
      </c>
      <c r="R10" s="16"/>
    </row>
    <row r="11" ht="19.5" customHeight="1" spans="1:18" x14ac:dyDescent="0.25">
      <c r="A11" s="19" t="s">
        <v>32</v>
      </c>
      <c r="B11" s="20" t="s">
        <v>33</v>
      </c>
      <c r="C11" s="20"/>
      <c r="D11" s="20"/>
      <c r="K11" s="4"/>
      <c r="L11" s="4"/>
      <c r="M11" s="19"/>
      <c r="N11" s="19" t="s">
        <v>34</v>
      </c>
      <c r="O11" s="19">
        <f>COUNTIF(H9:H103,"×")</f>
      </c>
      <c r="P11" s="19">
        <f>O11/Q12</f>
      </c>
      <c r="Q11" s="19" t="s">
        <v>35</v>
      </c>
      <c r="R11" s="16"/>
    </row>
    <row r="12" ht="19.5" customHeight="1" spans="1:18" x14ac:dyDescent="0.25">
      <c r="A12" s="19" t="s">
        <v>36</v>
      </c>
      <c r="B12" s="21" t="s">
        <v>37</v>
      </c>
      <c r="C12" s="21"/>
      <c r="D12" s="21"/>
      <c r="K12" s="4"/>
      <c r="L12" s="4"/>
      <c r="M12" s="19"/>
      <c r="N12" s="19" t="s">
        <v>38</v>
      </c>
      <c r="O12" s="19">
        <f>COUNTIF(H9:H103,"无")</f>
      </c>
      <c r="P12" s="19">
        <f>O12/Q12</f>
      </c>
      <c r="Q12" s="19">
        <f>SUM(O10:O12)</f>
      </c>
      <c r="R12" s="16"/>
    </row>
    <row r="13" ht="19.5" customHeight="1" spans="1:18" x14ac:dyDescent="0.25">
      <c r="A13" s="19" t="s">
        <v>39</v>
      </c>
      <c r="B13" s="20" t="s">
        <v>40</v>
      </c>
      <c r="C13" s="20"/>
      <c r="D13" s="20"/>
      <c r="K13" s="4"/>
      <c r="L13" s="4"/>
      <c r="M13" s="19" t="s">
        <v>21</v>
      </c>
      <c r="N13" s="19" t="s">
        <v>31</v>
      </c>
      <c r="O13" s="19">
        <f>COUNTIF(I9:I103,"√")</f>
      </c>
      <c r="P13" s="19">
        <f>O13/Q15</f>
      </c>
      <c r="R13" s="16"/>
    </row>
    <row r="14" ht="19.5" customHeight="1" spans="1:18" x14ac:dyDescent="0.25">
      <c r="A14" s="19" t="s">
        <v>41</v>
      </c>
      <c r="B14" s="20" t="s">
        <v>42</v>
      </c>
      <c r="C14" s="20"/>
      <c r="D14" s="20"/>
      <c r="K14" s="4"/>
      <c r="L14" s="4"/>
      <c r="M14" s="19"/>
      <c r="N14" s="19" t="s">
        <v>34</v>
      </c>
      <c r="O14" s="19">
        <f>COUNTIF(I9:I103,"×")</f>
      </c>
      <c r="P14" s="19">
        <f>O14/Q15</f>
      </c>
      <c r="Q14" s="19" t="s">
        <v>35</v>
      </c>
      <c r="R14" s="16"/>
    </row>
    <row r="15" ht="19.5" customHeight="1" spans="1:18" x14ac:dyDescent="0.25">
      <c r="A15" s="19" t="s">
        <v>43</v>
      </c>
      <c r="B15" s="21" t="s">
        <v>44</v>
      </c>
      <c r="C15" s="21"/>
      <c r="D15" s="21"/>
      <c r="K15" s="4"/>
      <c r="L15" s="4"/>
      <c r="M15" s="19"/>
      <c r="N15" s="19" t="s">
        <v>38</v>
      </c>
      <c r="O15" s="19">
        <f>COUNTIF(I9:I103,"无")</f>
      </c>
      <c r="P15" s="19">
        <f>O15/Q15</f>
      </c>
      <c r="Q15" s="19">
        <f>SUM(O13:O15)</f>
      </c>
      <c r="R15" s="16"/>
    </row>
    <row r="16" ht="19.5" customHeight="1" spans="1:18" x14ac:dyDescent="0.25">
      <c r="A16" s="19" t="s">
        <v>45</v>
      </c>
      <c r="B16" s="20" t="s">
        <v>46</v>
      </c>
      <c r="C16" s="20"/>
      <c r="D16" s="20"/>
      <c r="K16" s="4"/>
      <c r="L16" s="4"/>
      <c r="M16" s="19" t="s">
        <v>47</v>
      </c>
      <c r="N16" s="19"/>
      <c r="O16" s="19"/>
      <c r="P16" s="19"/>
      <c r="R16" s="16"/>
    </row>
    <row r="17" ht="19.5" customHeight="1" spans="1:15" x14ac:dyDescent="0.25">
      <c r="A17" s="19" t="s">
        <v>48</v>
      </c>
      <c r="B17" s="10" t="s">
        <v>49</v>
      </c>
      <c r="C17" s="10"/>
      <c r="D17" s="10"/>
      <c r="K17" s="4"/>
      <c r="L17" s="4"/>
      <c r="M17" s="19" t="s">
        <v>20</v>
      </c>
      <c r="N17" s="19" t="s">
        <v>31</v>
      </c>
      <c r="O17" s="19">
        <f>COUNTIF(E5:E75,"√")</f>
      </c>
    </row>
    <row r="18" ht="19.5" customHeight="1" spans="1:17" x14ac:dyDescent="0.25">
      <c r="A18" s="19" t="s">
        <v>50</v>
      </c>
      <c r="B18" s="20" t="s">
        <v>51</v>
      </c>
      <c r="C18" s="20"/>
      <c r="D18" s="20"/>
      <c r="K18" s="4"/>
      <c r="L18" s="4"/>
      <c r="M18" s="19"/>
      <c r="N18" s="19" t="s">
        <v>34</v>
      </c>
      <c r="O18" s="19">
        <f>COUNTIF(E5:E75,"×")</f>
      </c>
      <c r="Q18" s="19" t="s">
        <v>35</v>
      </c>
    </row>
    <row r="19" ht="19.5" customHeight="1" spans="1:17" x14ac:dyDescent="0.25">
      <c r="A19" s="19" t="s">
        <v>52</v>
      </c>
      <c r="B19" s="20" t="s">
        <v>53</v>
      </c>
      <c r="C19" s="20"/>
      <c r="D19" s="20"/>
      <c r="K19" s="4"/>
      <c r="L19" s="4"/>
      <c r="M19" s="19"/>
      <c r="N19" s="19" t="s">
        <v>38</v>
      </c>
      <c r="O19" s="19">
        <f>COUNTIF(E5:E75,"无")</f>
      </c>
      <c r="Q19" s="19">
        <f>SUM(O17:O19)</f>
      </c>
    </row>
    <row r="20" ht="19.5" customHeight="1" spans="1:15" x14ac:dyDescent="0.25">
      <c r="A20" s="19" t="s">
        <v>54</v>
      </c>
      <c r="B20" s="20" t="s">
        <v>55</v>
      </c>
      <c r="C20" s="20"/>
      <c r="D20" s="20"/>
      <c r="K20" s="4"/>
      <c r="L20" s="4"/>
      <c r="M20" s="19" t="s">
        <v>21</v>
      </c>
      <c r="N20" s="19" t="s">
        <v>31</v>
      </c>
      <c r="O20" s="19">
        <f>COUNTIF(F5:F75,"√")</f>
      </c>
    </row>
    <row r="21" ht="19.5" customHeight="1" spans="1:17" x14ac:dyDescent="0.25">
      <c r="A21" s="19" t="s">
        <v>56</v>
      </c>
      <c r="B21" s="20" t="s">
        <v>57</v>
      </c>
      <c r="C21" s="20"/>
      <c r="D21" s="20"/>
      <c r="K21" s="4"/>
      <c r="L21" s="4"/>
      <c r="M21" s="19"/>
      <c r="N21" s="19" t="s">
        <v>34</v>
      </c>
      <c r="O21" s="19">
        <f>COUNTIF(F5:F75,"×")</f>
      </c>
      <c r="Q21" s="19" t="s">
        <v>35</v>
      </c>
    </row>
    <row r="22" ht="19.5" customHeight="1" spans="1:17" x14ac:dyDescent="0.25">
      <c r="A22" s="19" t="s">
        <v>58</v>
      </c>
      <c r="B22" s="20" t="s">
        <v>59</v>
      </c>
      <c r="C22" s="20"/>
      <c r="D22" s="20"/>
      <c r="K22" s="4"/>
      <c r="L22" s="4"/>
      <c r="M22" s="19"/>
      <c r="N22" s="19" t="s">
        <v>38</v>
      </c>
      <c r="O22" s="19">
        <f>COUNTIF(F5:F75,"无")</f>
      </c>
      <c r="Q22" s="19">
        <f>SUM(O20:O22)</f>
      </c>
    </row>
    <row r="23" ht="19.5" customHeight="1" spans="1:12" x14ac:dyDescent="0.25">
      <c r="A23" s="19" t="s">
        <v>60</v>
      </c>
      <c r="B23" s="21" t="s">
        <v>61</v>
      </c>
      <c r="C23" s="21"/>
      <c r="D23" s="21"/>
      <c r="K23" s="4"/>
      <c r="L23" s="4"/>
    </row>
    <row r="24" ht="19.5" customHeight="1" spans="1:12" x14ac:dyDescent="0.25">
      <c r="A24" s="19" t="s">
        <v>62</v>
      </c>
      <c r="B24" s="21" t="s">
        <v>63</v>
      </c>
      <c r="C24" s="21"/>
      <c r="D24" s="21"/>
      <c r="K24" s="4"/>
      <c r="L24" s="4"/>
    </row>
    <row r="25" ht="19.5" customHeight="1" spans="1:12" x14ac:dyDescent="0.25">
      <c r="A25" s="19" t="s">
        <v>64</v>
      </c>
      <c r="B25" s="21" t="s">
        <v>65</v>
      </c>
      <c r="C25" s="21"/>
      <c r="D25" s="21"/>
      <c r="K25" s="4"/>
      <c r="L25" s="4"/>
    </row>
    <row r="26" ht="19.5" customHeight="1" spans="1:12" x14ac:dyDescent="0.25">
      <c r="A26" s="19" t="s">
        <v>66</v>
      </c>
      <c r="B26" s="21" t="s">
        <v>67</v>
      </c>
      <c r="C26" s="21"/>
      <c r="D26" s="21"/>
      <c r="K26" s="4"/>
      <c r="L26" s="4"/>
    </row>
    <row r="27" ht="19.5" customHeight="1" spans="1:12" x14ac:dyDescent="0.25">
      <c r="A27" s="19" t="s">
        <v>68</v>
      </c>
      <c r="B27" s="21" t="s">
        <v>69</v>
      </c>
      <c r="C27" s="21"/>
      <c r="D27" s="21"/>
      <c r="K27" s="4"/>
      <c r="L27" s="4"/>
    </row>
    <row r="28" ht="19.5" customHeight="1" spans="1:12" x14ac:dyDescent="0.25">
      <c r="A28" s="19" t="s">
        <v>70</v>
      </c>
      <c r="B28" s="20" t="s">
        <v>71</v>
      </c>
      <c r="C28" s="20"/>
      <c r="D28" s="20"/>
      <c r="K28" s="4"/>
      <c r="L28" s="4"/>
    </row>
    <row r="29" ht="19.5" customHeight="1" spans="1:12" x14ac:dyDescent="0.25">
      <c r="A29" s="19" t="s">
        <v>72</v>
      </c>
      <c r="B29" s="21" t="s">
        <v>73</v>
      </c>
      <c r="C29" s="21"/>
      <c r="D29" s="21"/>
      <c r="K29" s="4"/>
      <c r="L29" s="4"/>
    </row>
    <row r="30" ht="19.5" customHeight="1" spans="1:12" x14ac:dyDescent="0.25">
      <c r="A30" s="19" t="s">
        <v>74</v>
      </c>
      <c r="B30" s="21" t="s">
        <v>75</v>
      </c>
      <c r="C30" s="21"/>
      <c r="D30" s="21"/>
      <c r="K30" s="4"/>
      <c r="L30" s="4"/>
    </row>
    <row r="31" ht="19.5" customHeight="1" spans="1:12" x14ac:dyDescent="0.25">
      <c r="A31" s="19" t="s">
        <v>76</v>
      </c>
      <c r="B31" s="21" t="s">
        <v>77</v>
      </c>
      <c r="C31" s="21"/>
      <c r="D31" s="21"/>
      <c r="K31" s="4"/>
      <c r="L31" s="4"/>
    </row>
    <row r="32" ht="19.5" customHeight="1" spans="1:12" x14ac:dyDescent="0.25">
      <c r="A32" s="19" t="s">
        <v>78</v>
      </c>
      <c r="B32" s="21" t="s">
        <v>79</v>
      </c>
      <c r="C32" s="21"/>
      <c r="D32" s="21"/>
      <c r="K32" s="4"/>
      <c r="L32" s="4"/>
    </row>
    <row r="33" ht="19.5" customHeight="1" spans="1:12" x14ac:dyDescent="0.25">
      <c r="A33" s="19" t="s">
        <v>80</v>
      </c>
      <c r="B33" s="21" t="s">
        <v>81</v>
      </c>
      <c r="C33" s="21"/>
      <c r="D33" s="21"/>
      <c r="K33" s="4"/>
      <c r="L33" s="4"/>
    </row>
    <row r="34" ht="19.5" customHeight="1" spans="1:12" x14ac:dyDescent="0.25">
      <c r="A34" s="19" t="s">
        <v>82</v>
      </c>
      <c r="B34" s="20" t="s">
        <v>83</v>
      </c>
      <c r="C34" s="20"/>
      <c r="D34" s="20"/>
      <c r="K34" s="4"/>
      <c r="L34" s="4"/>
    </row>
    <row r="35" ht="19.5" customHeight="1" spans="1:12" x14ac:dyDescent="0.25">
      <c r="A35" s="19" t="s">
        <v>84</v>
      </c>
      <c r="B35" s="21" t="s">
        <v>85</v>
      </c>
      <c r="C35" s="21"/>
      <c r="D35" s="21"/>
      <c r="K35" s="4"/>
      <c r="L35" s="4"/>
    </row>
    <row r="36" ht="19.5" customHeight="1" spans="1:12" x14ac:dyDescent="0.25">
      <c r="A36" s="19" t="s">
        <v>86</v>
      </c>
      <c r="B36" s="21" t="s">
        <v>87</v>
      </c>
      <c r="C36" s="21"/>
      <c r="D36" s="21"/>
      <c r="K36" s="4"/>
      <c r="L36" s="4"/>
    </row>
    <row r="37" ht="19.5" customHeight="1" spans="1:12" x14ac:dyDescent="0.25">
      <c r="A37" s="19" t="s">
        <v>88</v>
      </c>
      <c r="B37" s="21" t="s">
        <v>89</v>
      </c>
      <c r="C37" s="21"/>
      <c r="D37" s="21"/>
      <c r="K37" s="4"/>
      <c r="L37" s="4"/>
    </row>
    <row r="38" ht="19.5" customHeight="1" spans="1:12" x14ac:dyDescent="0.25">
      <c r="A38" s="19" t="s">
        <v>90</v>
      </c>
      <c r="B38" s="22" t="s">
        <v>91</v>
      </c>
      <c r="C38" s="22"/>
      <c r="D38" s="22"/>
      <c r="K38" s="23" t="s">
        <v>92</v>
      </c>
      <c r="L38" s="23"/>
    </row>
    <row r="39" ht="19.5" customHeight="1" spans="1:12" x14ac:dyDescent="0.25">
      <c r="A39" s="19" t="s">
        <v>93</v>
      </c>
      <c r="B39" s="22" t="s">
        <v>94</v>
      </c>
      <c r="C39" s="22"/>
      <c r="D39" s="22"/>
      <c r="K39" s="23" t="s">
        <v>92</v>
      </c>
      <c r="L39" s="23"/>
    </row>
    <row r="40" ht="19.5" customHeight="1" spans="1:12" x14ac:dyDescent="0.25">
      <c r="A40" s="19" t="s">
        <v>95</v>
      </c>
      <c r="B40" s="22" t="s">
        <v>96</v>
      </c>
      <c r="C40" s="22"/>
      <c r="D40" s="22"/>
      <c r="K40" s="23" t="s">
        <v>92</v>
      </c>
      <c r="L40" s="23"/>
    </row>
    <row r="41" ht="19.5" customHeight="1" spans="1:12" x14ac:dyDescent="0.25">
      <c r="A41" s="19" t="s">
        <v>97</v>
      </c>
      <c r="B41" s="21" t="s">
        <v>98</v>
      </c>
      <c r="C41" s="21"/>
      <c r="D41" s="21"/>
      <c r="K41" s="4"/>
      <c r="L41" s="4"/>
    </row>
    <row r="42" ht="19.5" customHeight="1" spans="1:4" x14ac:dyDescent="0.25">
      <c r="A42" s="19" t="s">
        <v>99</v>
      </c>
      <c r="B42" s="21" t="s">
        <v>63</v>
      </c>
      <c r="C42" s="21"/>
      <c r="D42" s="21"/>
    </row>
    <row r="43" ht="19.5" customHeight="1" spans="1:4" x14ac:dyDescent="0.25">
      <c r="A43" s="19" t="s">
        <v>100</v>
      </c>
      <c r="B43" s="21" t="s">
        <v>61</v>
      </c>
      <c r="C43" s="21"/>
      <c r="D43" s="21"/>
    </row>
    <row r="44" ht="19.5" customHeight="1" spans="1:12" x14ac:dyDescent="0.25">
      <c r="A44" s="19" t="s">
        <v>101</v>
      </c>
      <c r="B44" s="21" t="s">
        <v>102</v>
      </c>
      <c r="C44" s="21"/>
      <c r="D44" s="21"/>
      <c r="K44" s="23" t="s">
        <v>92</v>
      </c>
      <c r="L44" s="23"/>
    </row>
    <row r="45" ht="19.5" customHeight="1" spans="1:12" x14ac:dyDescent="0.25">
      <c r="A45" s="19" t="s">
        <v>103</v>
      </c>
      <c r="B45" s="21" t="s">
        <v>104</v>
      </c>
      <c r="C45" s="21"/>
      <c r="D45" s="21"/>
      <c r="K45" s="23" t="s">
        <v>92</v>
      </c>
      <c r="L45" s="23"/>
    </row>
    <row r="46" ht="19.5" customHeight="1" spans="1:12" x14ac:dyDescent="0.25">
      <c r="A46" s="19" t="s">
        <v>105</v>
      </c>
      <c r="B46" s="21" t="s">
        <v>106</v>
      </c>
      <c r="C46" s="21"/>
      <c r="D46" s="21"/>
      <c r="K46" s="23" t="s">
        <v>92</v>
      </c>
      <c r="L46" s="23"/>
    </row>
    <row r="47" ht="19.5" customHeight="1" spans="2:12" x14ac:dyDescent="0.25">
      <c r="B47" s="24" t="s">
        <v>107</v>
      </c>
      <c r="C47" s="24"/>
      <c r="D47" s="24"/>
      <c r="E47" s="18" t="s">
        <v>20</v>
      </c>
      <c r="F47" s="18" t="s">
        <v>20</v>
      </c>
      <c r="G47" s="18" t="s">
        <v>22</v>
      </c>
      <c r="H47" s="18" t="s">
        <v>20</v>
      </c>
      <c r="I47" s="18" t="s">
        <v>20</v>
      </c>
      <c r="J47" s="18" t="s">
        <v>22</v>
      </c>
      <c r="K47" s="4"/>
      <c r="L47" s="4"/>
    </row>
    <row r="48" ht="19.5" customHeight="1" spans="1:12" x14ac:dyDescent="0.25">
      <c r="A48" s="19" t="s">
        <v>24</v>
      </c>
      <c r="B48" s="21" t="s">
        <v>108</v>
      </c>
      <c r="C48" s="21"/>
      <c r="D48" s="21"/>
      <c r="K48" s="4"/>
      <c r="L48" s="4"/>
    </row>
    <row r="49" ht="19.5" customHeight="1" spans="1:12" x14ac:dyDescent="0.25">
      <c r="A49" s="19" t="s">
        <v>29</v>
      </c>
      <c r="B49" s="20" t="s">
        <v>109</v>
      </c>
      <c r="C49" s="20"/>
      <c r="D49" s="20"/>
      <c r="K49" s="4"/>
      <c r="L49" s="4"/>
    </row>
    <row r="50" ht="19.5" customHeight="1" spans="1:12" x14ac:dyDescent="0.25">
      <c r="A50" s="19" t="s">
        <v>32</v>
      </c>
      <c r="B50" s="20" t="s">
        <v>110</v>
      </c>
      <c r="C50" s="20"/>
      <c r="D50" s="20"/>
      <c r="K50" s="4"/>
      <c r="L50" s="4"/>
    </row>
    <row r="51" ht="19.5" customHeight="1" spans="2:12" x14ac:dyDescent="0.25">
      <c r="B51" s="24" t="s">
        <v>111</v>
      </c>
      <c r="C51" s="24"/>
      <c r="D51" s="24"/>
      <c r="E51" s="18" t="s">
        <v>20</v>
      </c>
      <c r="F51" s="18" t="s">
        <v>20</v>
      </c>
      <c r="G51" s="18" t="s">
        <v>22</v>
      </c>
      <c r="H51" s="18" t="s">
        <v>20</v>
      </c>
      <c r="I51" s="18" t="s">
        <v>20</v>
      </c>
      <c r="J51" s="18" t="s">
        <v>22</v>
      </c>
      <c r="K51" s="4"/>
      <c r="L51" s="4"/>
    </row>
    <row r="52" ht="19.5" customHeight="1" spans="1:12" x14ac:dyDescent="0.25">
      <c r="A52" s="19" t="s">
        <v>24</v>
      </c>
      <c r="B52" s="21" t="s">
        <v>112</v>
      </c>
      <c r="C52" s="21"/>
      <c r="D52" s="21"/>
      <c r="K52" s="4"/>
      <c r="L52" s="4"/>
    </row>
    <row r="53" ht="19.5" customHeight="1" spans="1:12" x14ac:dyDescent="0.25">
      <c r="A53" s="19" t="s">
        <v>29</v>
      </c>
      <c r="B53" s="25" t="s">
        <v>113</v>
      </c>
      <c r="C53" s="25"/>
      <c r="D53" s="25"/>
      <c r="K53" s="23" t="s">
        <v>92</v>
      </c>
      <c r="L53" s="23"/>
    </row>
    <row r="54" ht="19.5" customHeight="1" spans="2:12" x14ac:dyDescent="0.25">
      <c r="B54" s="24" t="s">
        <v>114</v>
      </c>
      <c r="C54" s="24"/>
      <c r="D54" s="24"/>
      <c r="E54" s="18" t="s">
        <v>20</v>
      </c>
      <c r="F54" s="18" t="s">
        <v>20</v>
      </c>
      <c r="G54" s="18" t="s">
        <v>22</v>
      </c>
      <c r="H54" s="18" t="s">
        <v>20</v>
      </c>
      <c r="I54" s="18" t="s">
        <v>20</v>
      </c>
      <c r="J54" s="18" t="s">
        <v>22</v>
      </c>
      <c r="K54" s="4"/>
      <c r="L54" s="4"/>
    </row>
    <row r="55" ht="19.5" customHeight="1" spans="1:12" x14ac:dyDescent="0.25">
      <c r="A55" s="19" t="s">
        <v>24</v>
      </c>
      <c r="B55" s="26" t="s">
        <v>115</v>
      </c>
      <c r="C55" s="26"/>
      <c r="D55" s="26"/>
      <c r="K55" s="4"/>
      <c r="L55" s="4"/>
    </row>
    <row r="56" ht="19.5" customHeight="1" spans="1:12" x14ac:dyDescent="0.25">
      <c r="A56" s="19" t="s">
        <v>29</v>
      </c>
      <c r="B56" s="26" t="s">
        <v>116</v>
      </c>
      <c r="C56" s="26"/>
      <c r="D56" s="26"/>
      <c r="K56" s="4"/>
      <c r="L56" s="4"/>
    </row>
    <row r="57" ht="19.5" customHeight="1" spans="1:12" x14ac:dyDescent="0.25">
      <c r="A57" s="19" t="s">
        <v>32</v>
      </c>
      <c r="B57" s="21" t="s">
        <v>117</v>
      </c>
      <c r="C57" s="21"/>
      <c r="D57" s="21"/>
      <c r="K57" s="4"/>
      <c r="L57" s="4"/>
    </row>
    <row r="58" ht="19.5" customHeight="1" spans="1:12" x14ac:dyDescent="0.25">
      <c r="A58" s="19" t="s">
        <v>36</v>
      </c>
      <c r="B58" s="21" t="s">
        <v>118</v>
      </c>
      <c r="C58" s="21"/>
      <c r="D58" s="21"/>
      <c r="K58" s="4"/>
      <c r="L58" s="4"/>
    </row>
    <row r="59" ht="19.5" customHeight="1" spans="1:12" x14ac:dyDescent="0.25">
      <c r="A59" s="19" t="s">
        <v>39</v>
      </c>
      <c r="B59" s="21" t="s">
        <v>119</v>
      </c>
      <c r="C59" s="21"/>
      <c r="D59" s="21"/>
      <c r="K59" s="4"/>
      <c r="L59" s="4"/>
    </row>
    <row r="60" ht="19.5" customHeight="1" spans="2:12" x14ac:dyDescent="0.25">
      <c r="B60" s="24" t="s">
        <v>120</v>
      </c>
      <c r="C60" s="24"/>
      <c r="D60" s="24"/>
      <c r="E60" s="18" t="s">
        <v>20</v>
      </c>
      <c r="F60" s="18" t="s">
        <v>20</v>
      </c>
      <c r="G60" s="18" t="s">
        <v>22</v>
      </c>
      <c r="H60" s="18" t="s">
        <v>20</v>
      </c>
      <c r="I60" s="18" t="s">
        <v>20</v>
      </c>
      <c r="J60" s="18" t="s">
        <v>22</v>
      </c>
      <c r="K60" s="4"/>
      <c r="L60" s="4"/>
    </row>
    <row r="61" ht="19.5" customHeight="1" spans="1:12" x14ac:dyDescent="0.25">
      <c r="A61" s="19" t="s">
        <v>24</v>
      </c>
      <c r="B61" s="21" t="s">
        <v>121</v>
      </c>
      <c r="C61" s="21"/>
      <c r="D61" s="21"/>
      <c r="K61" s="4"/>
      <c r="L61" s="4"/>
    </row>
    <row r="62" ht="19.5" customHeight="1" spans="1:12" x14ac:dyDescent="0.25">
      <c r="A62" s="19" t="s">
        <v>29</v>
      </c>
      <c r="B62" s="21" t="s">
        <v>122</v>
      </c>
      <c r="C62" s="21"/>
      <c r="D62" s="21"/>
      <c r="K62" s="4"/>
      <c r="L62" s="4"/>
    </row>
    <row r="63" ht="19.5" customHeight="1" spans="1:12" x14ac:dyDescent="0.25">
      <c r="A63" s="19" t="s">
        <v>32</v>
      </c>
      <c r="B63" s="21" t="s">
        <v>123</v>
      </c>
      <c r="C63" s="21"/>
      <c r="D63" s="21"/>
      <c r="K63" s="4"/>
      <c r="L63" s="4"/>
    </row>
    <row r="64" ht="19.5" customHeight="1" spans="1:12" x14ac:dyDescent="0.25">
      <c r="A64" s="19" t="s">
        <v>36</v>
      </c>
      <c r="B64" s="21" t="s">
        <v>124</v>
      </c>
      <c r="C64" s="21"/>
      <c r="D64" s="21"/>
      <c r="K64" s="4"/>
      <c r="L64" s="4"/>
    </row>
    <row r="65" ht="19.5" customHeight="1" spans="1:12" x14ac:dyDescent="0.25">
      <c r="A65" s="19" t="s">
        <v>39</v>
      </c>
      <c r="B65" s="20" t="s">
        <v>125</v>
      </c>
      <c r="C65" s="20"/>
      <c r="D65" s="20"/>
      <c r="K65" s="4"/>
      <c r="L65" s="4"/>
    </row>
    <row r="66" ht="19.5" customHeight="1" spans="1:12" x14ac:dyDescent="0.25">
      <c r="A66" s="19" t="s">
        <v>41</v>
      </c>
      <c r="B66" s="26" t="s">
        <v>126</v>
      </c>
      <c r="C66" s="26"/>
      <c r="D66" s="26"/>
      <c r="K66" s="4"/>
      <c r="L66" s="4"/>
    </row>
    <row r="67" ht="19.5" customHeight="1" spans="1:12" x14ac:dyDescent="0.25">
      <c r="A67" s="19" t="s">
        <v>43</v>
      </c>
      <c r="B67" s="21" t="s">
        <v>127</v>
      </c>
      <c r="C67" s="21"/>
      <c r="D67" s="21"/>
      <c r="E67" s="27" t="s">
        <v>128</v>
      </c>
      <c r="F67" s="27" t="s">
        <v>128</v>
      </c>
      <c r="H67" s="27" t="s">
        <v>128</v>
      </c>
      <c r="I67" s="27" t="s">
        <v>128</v>
      </c>
      <c r="K67" s="4"/>
      <c r="L67" s="4"/>
    </row>
    <row r="68" ht="19.5" customHeight="1" spans="1:12" x14ac:dyDescent="0.25">
      <c r="A68" s="19" t="s">
        <v>45</v>
      </c>
      <c r="B68" s="21" t="s">
        <v>129</v>
      </c>
      <c r="C68" s="21"/>
      <c r="D68" s="21"/>
      <c r="K68" s="4"/>
      <c r="L68" s="4"/>
    </row>
    <row r="69" ht="19.5" customHeight="1" spans="1:12" x14ac:dyDescent="0.25">
      <c r="A69" s="19" t="s">
        <v>48</v>
      </c>
      <c r="B69" s="21" t="s">
        <v>130</v>
      </c>
      <c r="C69" s="21"/>
      <c r="D69" s="21"/>
      <c r="K69" s="4"/>
      <c r="L69" s="4"/>
    </row>
    <row r="70" ht="19.5" customHeight="1" spans="1:12" x14ac:dyDescent="0.25">
      <c r="A70" s="19" t="s">
        <v>50</v>
      </c>
      <c r="B70" s="21" t="s">
        <v>131</v>
      </c>
      <c r="C70" s="21"/>
      <c r="D70" s="21"/>
      <c r="K70" s="4"/>
      <c r="L70" s="4"/>
    </row>
    <row r="71" ht="19.5" customHeight="1" spans="2:12" x14ac:dyDescent="0.25">
      <c r="B71" s="24" t="s">
        <v>132</v>
      </c>
      <c r="C71" s="24"/>
      <c r="D71" s="24"/>
      <c r="E71" s="18" t="s">
        <v>20</v>
      </c>
      <c r="F71" s="18" t="s">
        <v>20</v>
      </c>
      <c r="G71" s="18" t="s">
        <v>22</v>
      </c>
      <c r="H71" s="18" t="s">
        <v>20</v>
      </c>
      <c r="I71" s="18" t="s">
        <v>20</v>
      </c>
      <c r="J71" s="18" t="s">
        <v>22</v>
      </c>
      <c r="K71" s="4"/>
      <c r="L71" s="4"/>
    </row>
    <row r="72" ht="19.5" customHeight="1" spans="1:12" x14ac:dyDescent="0.25">
      <c r="A72" s="19" t="s">
        <v>24</v>
      </c>
      <c r="B72" s="20" t="s">
        <v>133</v>
      </c>
      <c r="C72" s="20"/>
      <c r="D72" s="20"/>
      <c r="K72" s="4"/>
      <c r="L72" s="4"/>
    </row>
    <row r="73" ht="19.5" customHeight="1" spans="1:12" x14ac:dyDescent="0.25">
      <c r="A73" s="19" t="s">
        <v>29</v>
      </c>
      <c r="B73" s="20" t="s">
        <v>134</v>
      </c>
      <c r="C73" s="20"/>
      <c r="D73" s="20"/>
      <c r="K73" s="4"/>
      <c r="L73" s="4"/>
    </row>
    <row r="74" ht="19.5" customHeight="1" spans="1:12" x14ac:dyDescent="0.25">
      <c r="A74" s="19" t="s">
        <v>32</v>
      </c>
      <c r="B74" s="20" t="s">
        <v>135</v>
      </c>
      <c r="C74" s="20"/>
      <c r="D74" s="20"/>
      <c r="K74" s="4"/>
      <c r="L74" s="4"/>
    </row>
    <row r="75" ht="19.5" customHeight="1" spans="1:12" x14ac:dyDescent="0.25">
      <c r="A75" s="19" t="s">
        <v>36</v>
      </c>
      <c r="B75" s="20" t="s">
        <v>136</v>
      </c>
      <c r="C75" s="20"/>
      <c r="D75" s="20"/>
      <c r="K75" s="4"/>
      <c r="L75" s="4"/>
    </row>
    <row r="76" ht="19.5" customHeight="1" spans="1:12" x14ac:dyDescent="0.25">
      <c r="A76" s="19" t="s">
        <v>39</v>
      </c>
      <c r="B76" s="21" t="s">
        <v>137</v>
      </c>
      <c r="C76" s="21"/>
      <c r="D76" s="21"/>
      <c r="K76" s="4"/>
      <c r="L76" s="4"/>
    </row>
    <row r="77" ht="19.5" customHeight="1" spans="1:12" x14ac:dyDescent="0.25">
      <c r="A77" s="19" t="s">
        <v>41</v>
      </c>
      <c r="B77" s="20" t="s">
        <v>138</v>
      </c>
      <c r="C77" s="20"/>
      <c r="D77" s="20"/>
      <c r="K77" s="4"/>
      <c r="L77" s="4"/>
    </row>
    <row r="78" ht="19.5" customHeight="1" spans="1:12" x14ac:dyDescent="0.25">
      <c r="A78" s="19" t="s">
        <v>43</v>
      </c>
      <c r="B78" s="20" t="s">
        <v>139</v>
      </c>
      <c r="C78" s="20"/>
      <c r="D78" s="20"/>
      <c r="K78" s="4"/>
      <c r="L78" s="4"/>
    </row>
    <row r="79" ht="19.5" customHeight="1" spans="1:12" x14ac:dyDescent="0.25">
      <c r="A79" s="19" t="s">
        <v>45</v>
      </c>
      <c r="B79" s="21" t="s">
        <v>140</v>
      </c>
      <c r="C79" s="21"/>
      <c r="D79" s="21"/>
      <c r="K79" s="4"/>
      <c r="L79" s="4"/>
    </row>
    <row r="80" ht="19.5" customHeight="1" spans="1:12" x14ac:dyDescent="0.25">
      <c r="A80" s="19" t="s">
        <v>48</v>
      </c>
      <c r="B80" s="20" t="s">
        <v>141</v>
      </c>
      <c r="C80" s="20"/>
      <c r="D80" s="20"/>
      <c r="K80" s="4"/>
      <c r="L80" s="4"/>
    </row>
    <row r="81" ht="19.5" customHeight="1" spans="1:12" x14ac:dyDescent="0.25">
      <c r="A81" s="19" t="s">
        <v>50</v>
      </c>
      <c r="B81" s="21" t="s">
        <v>142</v>
      </c>
      <c r="C81" s="21"/>
      <c r="D81" s="21"/>
      <c r="K81" s="4"/>
      <c r="L81" s="4"/>
    </row>
    <row r="82" ht="19.5" customHeight="1" spans="1:12" x14ac:dyDescent="0.25">
      <c r="A82" s="19" t="s">
        <v>52</v>
      </c>
      <c r="B82" s="21" t="s">
        <v>143</v>
      </c>
      <c r="C82" s="21"/>
      <c r="D82" s="21"/>
      <c r="K82" s="4"/>
      <c r="L82" s="4"/>
    </row>
    <row r="83" ht="19.5" customHeight="1" spans="1:12" x14ac:dyDescent="0.25">
      <c r="A83" s="19" t="s">
        <v>54</v>
      </c>
      <c r="B83" s="22" t="s">
        <v>144</v>
      </c>
      <c r="C83" s="22"/>
      <c r="D83" s="22"/>
      <c r="K83" s="23" t="s">
        <v>92</v>
      </c>
      <c r="L83" s="23"/>
    </row>
    <row r="84" ht="19.5" customHeight="1" spans="1:12" x14ac:dyDescent="0.25">
      <c r="A84" s="19" t="s">
        <v>56</v>
      </c>
      <c r="B84" s="22" t="s">
        <v>145</v>
      </c>
      <c r="C84" s="22"/>
      <c r="D84" s="22"/>
      <c r="K84" s="23" t="s">
        <v>92</v>
      </c>
      <c r="L84" s="23"/>
    </row>
    <row r="85" ht="19.5" customHeight="1" spans="1:4" x14ac:dyDescent="0.25">
      <c r="A85" s="19" t="s">
        <v>58</v>
      </c>
      <c r="B85" s="22" t="s">
        <v>146</v>
      </c>
      <c r="C85" s="22"/>
      <c r="D85" s="22"/>
    </row>
    <row r="86" ht="19.5" customHeight="1" spans="2:12" x14ac:dyDescent="0.25">
      <c r="B86" s="24" t="s">
        <v>147</v>
      </c>
      <c r="C86" s="24"/>
      <c r="D86" s="24"/>
      <c r="E86" s="18" t="s">
        <v>20</v>
      </c>
      <c r="F86" s="18" t="s">
        <v>20</v>
      </c>
      <c r="G86" s="18" t="s">
        <v>22</v>
      </c>
      <c r="H86" s="18" t="s">
        <v>20</v>
      </c>
      <c r="I86" s="18" t="s">
        <v>20</v>
      </c>
      <c r="J86" s="18" t="s">
        <v>22</v>
      </c>
      <c r="K86" s="4"/>
      <c r="L86" s="4"/>
    </row>
    <row r="87" ht="19.5" customHeight="1" spans="1:12" x14ac:dyDescent="0.25">
      <c r="A87" s="19" t="s">
        <v>24</v>
      </c>
      <c r="B87" s="20" t="s">
        <v>148</v>
      </c>
      <c r="C87" s="20"/>
      <c r="D87" s="20"/>
      <c r="K87" s="4"/>
      <c r="L87" s="4"/>
    </row>
    <row r="88" ht="19.5" customHeight="1" spans="1:12" x14ac:dyDescent="0.25">
      <c r="A88" s="19" t="s">
        <v>29</v>
      </c>
      <c r="B88" s="21" t="s">
        <v>149</v>
      </c>
      <c r="C88" s="21"/>
      <c r="D88" s="21"/>
      <c r="K88" s="4"/>
      <c r="L88" s="4"/>
    </row>
    <row r="89" ht="19.5" customHeight="1" spans="1:12" x14ac:dyDescent="0.25">
      <c r="A89" s="19" t="s">
        <v>32</v>
      </c>
      <c r="B89" s="21" t="s">
        <v>150</v>
      </c>
      <c r="C89" s="21"/>
      <c r="D89" s="21"/>
      <c r="K89" s="4"/>
      <c r="L89" s="4"/>
    </row>
    <row r="90" ht="19.5" customHeight="1" spans="2:12" x14ac:dyDescent="0.25">
      <c r="B90" s="24" t="s">
        <v>151</v>
      </c>
      <c r="C90" s="24"/>
      <c r="D90" s="24"/>
      <c r="E90" s="18" t="s">
        <v>20</v>
      </c>
      <c r="F90" s="18" t="s">
        <v>20</v>
      </c>
      <c r="G90" s="18" t="s">
        <v>22</v>
      </c>
      <c r="H90" s="18" t="s">
        <v>20</v>
      </c>
      <c r="I90" s="18" t="s">
        <v>20</v>
      </c>
      <c r="J90" s="18" t="s">
        <v>22</v>
      </c>
      <c r="K90" s="4"/>
      <c r="L90" s="4"/>
    </row>
    <row r="91" ht="19.5" customHeight="1" spans="1:12" x14ac:dyDescent="0.25">
      <c r="A91" s="19" t="s">
        <v>24</v>
      </c>
      <c r="B91" s="21" t="s">
        <v>152</v>
      </c>
      <c r="C91" s="21"/>
      <c r="D91" s="21"/>
      <c r="K91" s="4"/>
      <c r="L91" s="4"/>
    </row>
    <row r="92" ht="19.5" customHeight="1" spans="1:12" x14ac:dyDescent="0.25">
      <c r="A92" s="19" t="s">
        <v>29</v>
      </c>
      <c r="B92" s="21" t="s">
        <v>153</v>
      </c>
      <c r="C92" s="21"/>
      <c r="D92" s="21"/>
      <c r="K92" s="4"/>
      <c r="L92" s="4"/>
    </row>
    <row r="93" ht="19.5" customHeight="1" spans="1:12" x14ac:dyDescent="0.25">
      <c r="A93" s="19" t="s">
        <v>32</v>
      </c>
      <c r="B93" s="21" t="s">
        <v>154</v>
      </c>
      <c r="C93" s="21"/>
      <c r="D93" s="21"/>
      <c r="K93" s="4"/>
      <c r="L93" s="4"/>
    </row>
    <row r="94" ht="19.5" customHeight="1" spans="1:12" x14ac:dyDescent="0.25">
      <c r="A94" s="19" t="s">
        <v>36</v>
      </c>
      <c r="B94" s="21" t="s">
        <v>155</v>
      </c>
      <c r="C94" s="21"/>
      <c r="D94" s="21"/>
      <c r="K94" s="4"/>
      <c r="L94" s="4"/>
    </row>
    <row r="95" ht="19.5" customHeight="1" spans="1:12" x14ac:dyDescent="0.25">
      <c r="A95" s="19" t="s">
        <v>39</v>
      </c>
      <c r="B95" s="21" t="s">
        <v>156</v>
      </c>
      <c r="C95" s="21"/>
      <c r="D95" s="21"/>
      <c r="K95" s="4"/>
      <c r="L95" s="4"/>
    </row>
    <row r="96" ht="19.5" customHeight="1" spans="1:12" x14ac:dyDescent="0.25">
      <c r="A96" s="19" t="s">
        <v>41</v>
      </c>
      <c r="B96" s="21" t="s">
        <v>157</v>
      </c>
      <c r="C96" s="21"/>
      <c r="D96" s="21"/>
      <c r="K96" s="4"/>
      <c r="L96" s="4"/>
    </row>
    <row r="97" ht="19.5" customHeight="1" spans="1:12" x14ac:dyDescent="0.25">
      <c r="A97" s="19" t="s">
        <v>43</v>
      </c>
      <c r="B97" s="21" t="s">
        <v>158</v>
      </c>
      <c r="C97" s="21"/>
      <c r="D97" s="21"/>
      <c r="K97" s="4"/>
      <c r="L97" s="4"/>
    </row>
    <row r="98" ht="19.5" customHeight="1" spans="1:12" x14ac:dyDescent="0.25">
      <c r="A98" s="19" t="s">
        <v>45</v>
      </c>
      <c r="B98" s="21" t="s">
        <v>159</v>
      </c>
      <c r="C98" s="21"/>
      <c r="D98" s="21"/>
      <c r="K98" s="4"/>
      <c r="L98" s="4"/>
    </row>
    <row r="99" ht="19.5" customHeight="1" spans="1:12" x14ac:dyDescent="0.25">
      <c r="A99" s="19" t="s">
        <v>48</v>
      </c>
      <c r="B99" s="21" t="s">
        <v>160</v>
      </c>
      <c r="C99" s="21"/>
      <c r="D99" s="21"/>
      <c r="K99" s="4"/>
      <c r="L99" s="4"/>
    </row>
    <row r="100" ht="19.5" customHeight="1" spans="1:12" x14ac:dyDescent="0.25">
      <c r="A100" s="19" t="s">
        <v>50</v>
      </c>
      <c r="B100" s="21" t="s">
        <v>161</v>
      </c>
      <c r="C100" s="21"/>
      <c r="D100" s="21"/>
      <c r="K100" s="4"/>
      <c r="L100" s="4"/>
    </row>
    <row r="101" ht="19.5" customHeight="1" spans="1:12" x14ac:dyDescent="0.25">
      <c r="A101" s="19" t="s">
        <v>52</v>
      </c>
      <c r="B101" s="21" t="s">
        <v>162</v>
      </c>
      <c r="C101" s="21"/>
      <c r="D101" s="21"/>
      <c r="K101" s="4"/>
      <c r="L101" s="4"/>
    </row>
    <row r="102" ht="19.5" customHeight="1" spans="1:12" x14ac:dyDescent="0.25">
      <c r="A102" s="19" t="s">
        <v>54</v>
      </c>
      <c r="B102" s="21" t="s">
        <v>163</v>
      </c>
      <c r="C102" s="21"/>
      <c r="D102" s="21"/>
      <c r="K102" s="4"/>
      <c r="L102" s="4"/>
    </row>
    <row r="103" ht="19.5" customHeight="1" spans="1:12" x14ac:dyDescent="0.25">
      <c r="A103" s="19" t="s">
        <v>56</v>
      </c>
      <c r="B103" s="21" t="s">
        <v>164</v>
      </c>
      <c r="C103" s="21"/>
      <c r="D103" s="21"/>
      <c r="K103" s="4"/>
      <c r="L103" s="4"/>
    </row>
    <row r="104" ht="14.25" customHeight="1" spans="1:12" x14ac:dyDescent="0.25">
      <c r="A104" s="19" t="s">
        <v>58</v>
      </c>
      <c r="B104" s="28" t="s">
        <v>165</v>
      </c>
      <c r="C104" s="28"/>
      <c r="D104" s="28"/>
      <c r="K104" s="4"/>
      <c r="L104" s="4"/>
    </row>
    <row r="105" ht="14.25" customHeight="1" x14ac:dyDescent="0.25"/>
  </sheetData>
  <mergeCells count="71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R7:R16"/>
    <mergeCell ref="B9:D9"/>
    <mergeCell ref="K9:L9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M16:P16"/>
    <mergeCell ref="B17:D17"/>
    <mergeCell ref="K17:L17"/>
    <mergeCell ref="B18:D18"/>
    <mergeCell ref="K18:L18"/>
    <mergeCell ref="M17:M19"/>
    <mergeCell ref="B19:D19"/>
    <mergeCell ref="K19:L19"/>
    <mergeCell ref="B20:D20"/>
    <mergeCell ref="K20:L20"/>
    <mergeCell ref="B21:D21"/>
    <mergeCell ref="K21:L21"/>
    <mergeCell ref="M20:M22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</mergeCells>
  <dataValidations count="15">
    <dataValidation type="list" allowBlank="1" showErrorMessage="1" sqref="E10:J46">
      <formula1>"√,×,/,待"</formula1>
    </dataValidation>
    <dataValidation type="list" allowBlank="1" showErrorMessage="1" sqref="E100:I105">
      <formula1>"√,×,/,待"</formula1>
    </dataValidation>
    <dataValidation type="list" allowBlank="1" showErrorMessage="1" sqref="E48:J50">
      <formula1>"√,×,/,待"</formula1>
    </dataValidation>
    <dataValidation type="list" allowBlank="1" showErrorMessage="1" sqref="E52:J53">
      <formula1>"√,×,/,待"</formula1>
    </dataValidation>
    <dataValidation type="list" allowBlank="1" showErrorMessage="1" sqref="E55:J59">
      <formula1>"√,×,/,待"</formula1>
    </dataValidation>
    <dataValidation type="list" allowBlank="1" showErrorMessage="1" sqref="E61:I70">
      <formula1>"√,×,/,待"</formula1>
    </dataValidation>
    <dataValidation type="list" allowBlank="1" showErrorMessage="1" sqref="E72:I85">
      <formula1>"√,×,/,待"</formula1>
    </dataValidation>
    <dataValidation type="list" allowBlank="1" showErrorMessage="1" sqref="E87:I89">
      <formula1>"√,×,/,待"</formula1>
    </dataValidation>
    <dataValidation type="list" allowBlank="1" showErrorMessage="1" sqref="E9:J46">
      <formula1>"√,×,/,待"</formula1>
    </dataValidation>
    <dataValidation type="list" allowBlank="1" showErrorMessage="1" sqref="E91:I105">
      <formula1>"√,×,/,待"</formula1>
    </dataValidation>
    <dataValidation type="list" allowBlank="1" showErrorMessage="1" sqref="J100:J104">
      <formula1>"√,×,无"</formula1>
    </dataValidation>
    <dataValidation type="list" allowBlank="1" showErrorMessage="1" sqref="J61:J70">
      <formula1>"√,×,无"</formula1>
    </dataValidation>
    <dataValidation type="list" allowBlank="1" showErrorMessage="1" sqref="J72:J85">
      <formula1>"√,×,无"</formula1>
    </dataValidation>
    <dataValidation type="list" allowBlank="1" showErrorMessage="1" sqref="J87:J89">
      <formula1>"√,×,无"</formula1>
    </dataValidation>
    <dataValidation type="list" allowBlank="1" showErrorMessage="1" sqref="J91:J104">
      <formula1>"√,×,无"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后工序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2026-07-14T18:56:25Z</dcterms:created>
  <dcterms:modified xsi:type="dcterms:W3CDTF">2026-07-14T18:56:25Z</dcterms:modified>
</cp:coreProperties>
</file>